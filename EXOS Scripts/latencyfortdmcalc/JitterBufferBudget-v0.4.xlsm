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showHorizontalScroll="0" showVerticalScroll="0" showSheetTabs="0" xWindow="360" yWindow="555" windowWidth="15030" windowHeight="7605" tabRatio="599"/>
  </bookViews>
  <sheets>
    <sheet name="JitterBufferBudget" sheetId="6" r:id="rId1"/>
    <sheet name="Sheet3" sheetId="9" r:id="rId2"/>
  </sheets>
  <definedNames>
    <definedName name="e1all">JitterBufferBudget!$BA$279:$BA$310</definedName>
    <definedName name="e1basic">JitterBufferBudget!$BA$279:$BA$309</definedName>
    <definedName name="e1mf">JitterBufferBudget!$BA$279:$BA$308</definedName>
    <definedName name="e1unframed">JitterBufferBudget!$BA$310</definedName>
    <definedName name="maxJitterBuffer">JitterBufferBudget!$BG$279:$BG$549</definedName>
    <definedName name="payldBasic">JitterBufferBudget!$BC$279:$BC$854</definedName>
    <definedName name="payldMF">JitterBufferBudget!$BD$279:$BD$283</definedName>
    <definedName name="payldSF">JitterBufferBudget!$BE$279:$BE$286</definedName>
    <definedName name="payldUnframed">JitterBufferBudget!$BD$294:$BD$838</definedName>
    <definedName name="t1all">JitterBufferBudget!$BA$279:$BA$302</definedName>
    <definedName name="t1unframed">JitterBufferBudget!$BA$302</definedName>
  </definedNames>
  <calcPr calcId="145621"/>
</workbook>
</file>

<file path=xl/calcChain.xml><?xml version="1.0" encoding="utf-8"?>
<calcChain xmlns="http://schemas.openxmlformats.org/spreadsheetml/2006/main">
  <c r="AR333" i="6" l="1"/>
  <c r="AD336" i="6"/>
  <c r="AS259" i="6" l="1"/>
  <c r="F28" i="6" l="1"/>
  <c r="F27" i="6"/>
  <c r="F26" i="6"/>
  <c r="F25" i="6"/>
  <c r="AE336" i="6" l="1"/>
  <c r="N20" i="6" s="1"/>
  <c r="AS327" i="6" l="1"/>
  <c r="AX259" i="6"/>
  <c r="AX258" i="6"/>
  <c r="AR321" i="6"/>
  <c r="AQ318" i="6" l="1"/>
  <c r="AR327" i="6" l="1"/>
  <c r="AP315" i="6"/>
  <c r="AT259" i="6"/>
  <c r="AT307" i="6"/>
  <c r="AT306" i="6"/>
  <c r="AT308" i="6"/>
  <c r="AT310" i="6"/>
  <c r="AT309" i="6"/>
  <c r="AT313" i="6"/>
  <c r="AT312" i="6"/>
  <c r="AT314" i="6"/>
  <c r="AT311" i="6"/>
  <c r="AT261" i="6" l="1"/>
  <c r="AQ285" i="6" s="1"/>
  <c r="AT262" i="6"/>
  <c r="AQ286" i="6" s="1"/>
  <c r="AY315" i="6"/>
  <c r="AR328" i="6" s="1"/>
  <c r="AZ315" i="6"/>
  <c r="AR334" i="6" s="1"/>
  <c r="AT263" i="6"/>
  <c r="AQ287" i="6" s="1"/>
  <c r="AR315" i="6"/>
  <c r="AX315" i="6" s="1"/>
  <c r="AU315" i="6" l="1"/>
  <c r="AV315" i="6"/>
  <c r="AS315" i="6"/>
  <c r="AQ315" i="6"/>
  <c r="AT315" i="6"/>
  <c r="AR281" i="6"/>
  <c r="I6" i="6" s="1"/>
  <c r="AR318" i="6"/>
  <c r="AQ319" i="6" s="1"/>
  <c r="AT327" i="6" l="1"/>
  <c r="AU327" i="6" s="1"/>
  <c r="G6" i="6" s="1"/>
  <c r="AU304" i="6"/>
  <c r="A9" i="6" s="1"/>
  <c r="AS321" i="6"/>
  <c r="AT321" i="6" s="1"/>
  <c r="AS334" i="6" s="1"/>
  <c r="Q5" i="6" s="1"/>
  <c r="AR329" i="6"/>
  <c r="AR280" i="6" s="1"/>
  <c r="J6" i="6" s="1"/>
  <c r="BE280" i="6"/>
  <c r="BE281" i="6" s="1"/>
  <c r="BE282" i="6" s="1"/>
  <c r="BE283" i="6" s="1"/>
  <c r="BE284" i="6" s="1"/>
  <c r="BE285" i="6" s="1"/>
  <c r="BE286" i="6" s="1"/>
  <c r="BD280" i="6"/>
  <c r="BD281" i="6" s="1"/>
  <c r="BD282" i="6" s="1"/>
  <c r="BD283" i="6" s="1"/>
  <c r="BC280" i="6"/>
  <c r="BC281" i="6" s="1"/>
  <c r="BC282" i="6" s="1"/>
  <c r="BC283" i="6" s="1"/>
  <c r="BC284" i="6" s="1"/>
  <c r="BC285" i="6" s="1"/>
  <c r="BC286" i="6" s="1"/>
  <c r="BC287" i="6" s="1"/>
  <c r="BC288" i="6" s="1"/>
  <c r="BC289" i="6" s="1"/>
  <c r="BC290" i="6" s="1"/>
  <c r="BC291" i="6" s="1"/>
  <c r="BC292" i="6" s="1"/>
  <c r="BC293" i="6" s="1"/>
  <c r="BC294" i="6" s="1"/>
  <c r="BC295" i="6" s="1"/>
  <c r="BC296" i="6" s="1"/>
  <c r="BC297" i="6" s="1"/>
  <c r="BC298" i="6" s="1"/>
  <c r="BC299" i="6" s="1"/>
  <c r="BC300" i="6" s="1"/>
  <c r="BC301" i="6" s="1"/>
  <c r="BC302" i="6" s="1"/>
  <c r="BC303" i="6" s="1"/>
  <c r="BC304" i="6" s="1"/>
  <c r="BC305" i="6" s="1"/>
  <c r="BC306" i="6" s="1"/>
  <c r="BC307" i="6" s="1"/>
  <c r="BC308" i="6" s="1"/>
  <c r="BC309" i="6" s="1"/>
  <c r="BC310" i="6" s="1"/>
  <c r="BC311" i="6" s="1"/>
  <c r="BC312" i="6" s="1"/>
  <c r="BC313" i="6" s="1"/>
  <c r="BC314" i="6" s="1"/>
  <c r="BC315" i="6" s="1"/>
  <c r="BC316" i="6" s="1"/>
  <c r="BC317" i="6" s="1"/>
  <c r="BC318" i="6" s="1"/>
  <c r="BC319" i="6" s="1"/>
  <c r="BC320" i="6" s="1"/>
  <c r="BC321" i="6" s="1"/>
  <c r="BC322" i="6" s="1"/>
  <c r="BC323" i="6" s="1"/>
  <c r="BC324" i="6" s="1"/>
  <c r="BC325" i="6" s="1"/>
  <c r="BC326" i="6" s="1"/>
  <c r="BC327" i="6" s="1"/>
  <c r="BC328" i="6" s="1"/>
  <c r="BC329" i="6" s="1"/>
  <c r="BC330" i="6" s="1"/>
  <c r="BC331" i="6" s="1"/>
  <c r="BC332" i="6" s="1"/>
  <c r="BC333" i="6" s="1"/>
  <c r="BC334" i="6" s="1"/>
  <c r="BC335" i="6" s="1"/>
  <c r="BC336" i="6" s="1"/>
  <c r="BC337" i="6" s="1"/>
  <c r="BC338" i="6" s="1"/>
  <c r="BC339" i="6" s="1"/>
  <c r="BC340" i="6" s="1"/>
  <c r="BC341" i="6" s="1"/>
  <c r="BC342" i="6" s="1"/>
  <c r="BC343" i="6" s="1"/>
  <c r="BC344" i="6" s="1"/>
  <c r="BC345" i="6" s="1"/>
  <c r="BC346" i="6" s="1"/>
  <c r="BC347" i="6" s="1"/>
  <c r="BC348" i="6" s="1"/>
  <c r="BC349" i="6" s="1"/>
  <c r="BC350" i="6" s="1"/>
  <c r="BC351" i="6" s="1"/>
  <c r="BC352" i="6" s="1"/>
  <c r="BC353" i="6" s="1"/>
  <c r="BC354" i="6" s="1"/>
  <c r="BC355" i="6" s="1"/>
  <c r="BC356" i="6" s="1"/>
  <c r="BC357" i="6" s="1"/>
  <c r="BC358" i="6" s="1"/>
  <c r="BC359" i="6" s="1"/>
  <c r="BC360" i="6" s="1"/>
  <c r="BC361" i="6" s="1"/>
  <c r="BC362" i="6" s="1"/>
  <c r="BC363" i="6" s="1"/>
  <c r="BC364" i="6" s="1"/>
  <c r="BC365" i="6" s="1"/>
  <c r="BC366" i="6" s="1"/>
  <c r="BC367" i="6" s="1"/>
  <c r="BC368" i="6" s="1"/>
  <c r="BC369" i="6" s="1"/>
  <c r="BC370" i="6" s="1"/>
  <c r="BC371" i="6" s="1"/>
  <c r="BC372" i="6" s="1"/>
  <c r="BC373" i="6" s="1"/>
  <c r="BC374" i="6" s="1"/>
  <c r="BC375" i="6" s="1"/>
  <c r="BC376" i="6" s="1"/>
  <c r="BC377" i="6" s="1"/>
  <c r="BC378" i="6" s="1"/>
  <c r="BC379" i="6" s="1"/>
  <c r="BC380" i="6" s="1"/>
  <c r="BC381" i="6" s="1"/>
  <c r="BC382" i="6" s="1"/>
  <c r="BC383" i="6" s="1"/>
  <c r="BC384" i="6" s="1"/>
  <c r="BC385" i="6" s="1"/>
  <c r="BC386" i="6" s="1"/>
  <c r="BC387" i="6" s="1"/>
  <c r="BC388" i="6" s="1"/>
  <c r="BC389" i="6" s="1"/>
  <c r="BC390" i="6" s="1"/>
  <c r="BC391" i="6" s="1"/>
  <c r="BC392" i="6" s="1"/>
  <c r="BC393" i="6" s="1"/>
  <c r="BC394" i="6" s="1"/>
  <c r="BC395" i="6" s="1"/>
  <c r="BC396" i="6" s="1"/>
  <c r="BC397" i="6" s="1"/>
  <c r="BC398" i="6" s="1"/>
  <c r="BC399" i="6" s="1"/>
  <c r="BC400" i="6" s="1"/>
  <c r="BC401" i="6" s="1"/>
  <c r="BC402" i="6" s="1"/>
  <c r="BC403" i="6" s="1"/>
  <c r="BC404" i="6" s="1"/>
  <c r="BC405" i="6" s="1"/>
  <c r="BC406" i="6" s="1"/>
  <c r="BC407" i="6" s="1"/>
  <c r="BC408" i="6" s="1"/>
  <c r="BC409" i="6" s="1"/>
  <c r="BC410" i="6" s="1"/>
  <c r="BC411" i="6" s="1"/>
  <c r="BC412" i="6" s="1"/>
  <c r="BC413" i="6" s="1"/>
  <c r="BC414" i="6" s="1"/>
  <c r="BC415" i="6" s="1"/>
  <c r="BC416" i="6" s="1"/>
  <c r="BC417" i="6" s="1"/>
  <c r="BC418" i="6" s="1"/>
  <c r="BC419" i="6" s="1"/>
  <c r="BC420" i="6" s="1"/>
  <c r="BC421" i="6" s="1"/>
  <c r="BC422" i="6" s="1"/>
  <c r="BC423" i="6" s="1"/>
  <c r="BC424" i="6" s="1"/>
  <c r="BC425" i="6" s="1"/>
  <c r="BC426" i="6" s="1"/>
  <c r="BC427" i="6" s="1"/>
  <c r="BC428" i="6" s="1"/>
  <c r="BC429" i="6" s="1"/>
  <c r="BC430" i="6" s="1"/>
  <c r="BC431" i="6" s="1"/>
  <c r="BC432" i="6" s="1"/>
  <c r="BC433" i="6" s="1"/>
  <c r="BC434" i="6" s="1"/>
  <c r="BC435" i="6" s="1"/>
  <c r="BC436" i="6" s="1"/>
  <c r="BC437" i="6" s="1"/>
  <c r="BC438" i="6" s="1"/>
  <c r="BC439" i="6" s="1"/>
  <c r="BC440" i="6" s="1"/>
  <c r="BC441" i="6" s="1"/>
  <c r="BC442" i="6" s="1"/>
  <c r="BC443" i="6" s="1"/>
  <c r="BC444" i="6" s="1"/>
  <c r="BC445" i="6" s="1"/>
  <c r="BC446" i="6" s="1"/>
  <c r="BC447" i="6" s="1"/>
  <c r="BC448" i="6" s="1"/>
  <c r="BC449" i="6" s="1"/>
  <c r="BC450" i="6" s="1"/>
  <c r="BC451" i="6" s="1"/>
  <c r="BC452" i="6" s="1"/>
  <c r="BC453" i="6" s="1"/>
  <c r="BC454" i="6" s="1"/>
  <c r="BC455" i="6" s="1"/>
  <c r="BC456" i="6" s="1"/>
  <c r="BC457" i="6" s="1"/>
  <c r="BC458" i="6" s="1"/>
  <c r="BC459" i="6" s="1"/>
  <c r="BC460" i="6" s="1"/>
  <c r="BC461" i="6" s="1"/>
  <c r="BC462" i="6" s="1"/>
  <c r="BC463" i="6" s="1"/>
  <c r="BC464" i="6" s="1"/>
  <c r="BC465" i="6" s="1"/>
  <c r="BC466" i="6" s="1"/>
  <c r="BC467" i="6" s="1"/>
  <c r="BC468" i="6" s="1"/>
  <c r="BC469" i="6" s="1"/>
  <c r="BC470" i="6" s="1"/>
  <c r="BC471" i="6" s="1"/>
  <c r="BC472" i="6" s="1"/>
  <c r="BC473" i="6" s="1"/>
  <c r="BC474" i="6" s="1"/>
  <c r="BC475" i="6" s="1"/>
  <c r="BC476" i="6" s="1"/>
  <c r="BC477" i="6" s="1"/>
  <c r="BC478" i="6" s="1"/>
  <c r="BC479" i="6" s="1"/>
  <c r="BC480" i="6" s="1"/>
  <c r="BC481" i="6" s="1"/>
  <c r="BC482" i="6" s="1"/>
  <c r="BC483" i="6" s="1"/>
  <c r="BC484" i="6" s="1"/>
  <c r="BC485" i="6" s="1"/>
  <c r="BC486" i="6" s="1"/>
  <c r="BC487" i="6" s="1"/>
  <c r="BC488" i="6" s="1"/>
  <c r="BC489" i="6" s="1"/>
  <c r="BC490" i="6" s="1"/>
  <c r="BC491" i="6" s="1"/>
  <c r="BC492" i="6" s="1"/>
  <c r="BC493" i="6" s="1"/>
  <c r="BC494" i="6" s="1"/>
  <c r="BC495" i="6" s="1"/>
  <c r="BC496" i="6" s="1"/>
  <c r="BC497" i="6" s="1"/>
  <c r="BC498" i="6" s="1"/>
  <c r="BC499" i="6" s="1"/>
  <c r="BC500" i="6" s="1"/>
  <c r="BC501" i="6" s="1"/>
  <c r="BC502" i="6" s="1"/>
  <c r="BC503" i="6" s="1"/>
  <c r="BC504" i="6" s="1"/>
  <c r="BC505" i="6" s="1"/>
  <c r="BC506" i="6" s="1"/>
  <c r="BC507" i="6" s="1"/>
  <c r="BC508" i="6" s="1"/>
  <c r="BC509" i="6" s="1"/>
  <c r="BC510" i="6" s="1"/>
  <c r="BC511" i="6" s="1"/>
  <c r="BC512" i="6" s="1"/>
  <c r="BC513" i="6" s="1"/>
  <c r="BC514" i="6" s="1"/>
  <c r="BC515" i="6" s="1"/>
  <c r="BC516" i="6" s="1"/>
  <c r="BC517" i="6" s="1"/>
  <c r="BC518" i="6" s="1"/>
  <c r="BC519" i="6" s="1"/>
  <c r="BC520" i="6" s="1"/>
  <c r="BC521" i="6" s="1"/>
  <c r="BC522" i="6" s="1"/>
  <c r="BC523" i="6" s="1"/>
  <c r="BC524" i="6" s="1"/>
  <c r="BC525" i="6" s="1"/>
  <c r="BC526" i="6" s="1"/>
  <c r="BC527" i="6" s="1"/>
  <c r="BC528" i="6" s="1"/>
  <c r="BC529" i="6" s="1"/>
  <c r="BC530" i="6" s="1"/>
  <c r="BC531" i="6" s="1"/>
  <c r="BC532" i="6" s="1"/>
  <c r="BC533" i="6" s="1"/>
  <c r="BC534" i="6" s="1"/>
  <c r="BC535" i="6" s="1"/>
  <c r="BC536" i="6" s="1"/>
  <c r="BC537" i="6" s="1"/>
  <c r="BC538" i="6" s="1"/>
  <c r="BC539" i="6" s="1"/>
  <c r="BC540" i="6" s="1"/>
  <c r="BC541" i="6" s="1"/>
  <c r="BC542" i="6" s="1"/>
  <c r="BC543" i="6" s="1"/>
  <c r="BC544" i="6" s="1"/>
  <c r="BC545" i="6" s="1"/>
  <c r="BC546" i="6" s="1"/>
  <c r="BC547" i="6" s="1"/>
  <c r="BC548" i="6" s="1"/>
  <c r="BC549" i="6" s="1"/>
  <c r="BC550" i="6" s="1"/>
  <c r="BC551" i="6" s="1"/>
  <c r="BC552" i="6" s="1"/>
  <c r="BC553" i="6" s="1"/>
  <c r="BC554" i="6" s="1"/>
  <c r="BC555" i="6" s="1"/>
  <c r="BC556" i="6" s="1"/>
  <c r="BC557" i="6" s="1"/>
  <c r="BC558" i="6" s="1"/>
  <c r="BC559" i="6" s="1"/>
  <c r="BC560" i="6" s="1"/>
  <c r="BC561" i="6" s="1"/>
  <c r="BC562" i="6" s="1"/>
  <c r="BC563" i="6" s="1"/>
  <c r="BC564" i="6" s="1"/>
  <c r="BC565" i="6" s="1"/>
  <c r="BC566" i="6" s="1"/>
  <c r="BC567" i="6" s="1"/>
  <c r="BC568" i="6" s="1"/>
  <c r="BC569" i="6" s="1"/>
  <c r="BC570" i="6" s="1"/>
  <c r="BC571" i="6" s="1"/>
  <c r="BC572" i="6" s="1"/>
  <c r="BC573" i="6" s="1"/>
  <c r="BC574" i="6" s="1"/>
  <c r="BC575" i="6" s="1"/>
  <c r="BC576" i="6" s="1"/>
  <c r="BC577" i="6" s="1"/>
  <c r="BC578" i="6" s="1"/>
  <c r="BC579" i="6" s="1"/>
  <c r="BC580" i="6" s="1"/>
  <c r="BC581" i="6" s="1"/>
  <c r="BC582" i="6" s="1"/>
  <c r="BC583" i="6" s="1"/>
  <c r="BC584" i="6" s="1"/>
  <c r="BC585" i="6" s="1"/>
  <c r="BC586" i="6" s="1"/>
  <c r="BC587" i="6" s="1"/>
  <c r="BC588" i="6" s="1"/>
  <c r="BC589" i="6" s="1"/>
  <c r="BC590" i="6" s="1"/>
  <c r="BC591" i="6" s="1"/>
  <c r="BC592" i="6" s="1"/>
  <c r="BC593" i="6" s="1"/>
  <c r="BC594" i="6" s="1"/>
  <c r="BC595" i="6" s="1"/>
  <c r="BC596" i="6" s="1"/>
  <c r="BC597" i="6" s="1"/>
  <c r="BC598" i="6" s="1"/>
  <c r="BC599" i="6" s="1"/>
  <c r="BC600" i="6" s="1"/>
  <c r="BC601" i="6" s="1"/>
  <c r="BC602" i="6" s="1"/>
  <c r="BC603" i="6" s="1"/>
  <c r="BC604" i="6" s="1"/>
  <c r="BC605" i="6" s="1"/>
  <c r="BC606" i="6" s="1"/>
  <c r="BC607" i="6" s="1"/>
  <c r="BC608" i="6" s="1"/>
  <c r="BC609" i="6" s="1"/>
  <c r="BC610" i="6" s="1"/>
  <c r="BC611" i="6" s="1"/>
  <c r="BC612" i="6" s="1"/>
  <c r="BC613" i="6" s="1"/>
  <c r="BC614" i="6" s="1"/>
  <c r="BC615" i="6" s="1"/>
  <c r="BC616" i="6" s="1"/>
  <c r="BC617" i="6" s="1"/>
  <c r="BC618" i="6" s="1"/>
  <c r="BC619" i="6" s="1"/>
  <c r="BC620" i="6" s="1"/>
  <c r="BC621" i="6" s="1"/>
  <c r="BC622" i="6" s="1"/>
  <c r="BC623" i="6" s="1"/>
  <c r="BC624" i="6" s="1"/>
  <c r="BC625" i="6" s="1"/>
  <c r="BC626" i="6" s="1"/>
  <c r="BC627" i="6" s="1"/>
  <c r="BC628" i="6" s="1"/>
  <c r="BC629" i="6" s="1"/>
  <c r="BC630" i="6" s="1"/>
  <c r="BC631" i="6" s="1"/>
  <c r="BC632" i="6" s="1"/>
  <c r="BC633" i="6" s="1"/>
  <c r="BC634" i="6" s="1"/>
  <c r="BC635" i="6" s="1"/>
  <c r="BC636" i="6" s="1"/>
  <c r="BC637" i="6" s="1"/>
  <c r="BC638" i="6" s="1"/>
  <c r="BC639" i="6" s="1"/>
  <c r="BC640" i="6" s="1"/>
  <c r="BC641" i="6" s="1"/>
  <c r="BC642" i="6" s="1"/>
  <c r="BC643" i="6" s="1"/>
  <c r="BC644" i="6" s="1"/>
  <c r="BC645" i="6" s="1"/>
  <c r="BC646" i="6" s="1"/>
  <c r="BC647" i="6" s="1"/>
  <c r="BC648" i="6" s="1"/>
  <c r="BC649" i="6" s="1"/>
  <c r="BC650" i="6" s="1"/>
  <c r="BC651" i="6" s="1"/>
  <c r="BC652" i="6" s="1"/>
  <c r="BC653" i="6" s="1"/>
  <c r="BC654" i="6" s="1"/>
  <c r="BC655" i="6" s="1"/>
  <c r="BC656" i="6" s="1"/>
  <c r="BC657" i="6" s="1"/>
  <c r="BC658" i="6" s="1"/>
  <c r="BC659" i="6" s="1"/>
  <c r="BC660" i="6" s="1"/>
  <c r="BC661" i="6" s="1"/>
  <c r="BC662" i="6" s="1"/>
  <c r="BC663" i="6" s="1"/>
  <c r="BC664" i="6" s="1"/>
  <c r="BC665" i="6" s="1"/>
  <c r="BC666" i="6" s="1"/>
  <c r="BC667" i="6" s="1"/>
  <c r="BC668" i="6" s="1"/>
  <c r="BC669" i="6" s="1"/>
  <c r="BC670" i="6" s="1"/>
  <c r="BC671" i="6" s="1"/>
  <c r="BC672" i="6" s="1"/>
  <c r="BC673" i="6" s="1"/>
  <c r="BC674" i="6" s="1"/>
  <c r="BC675" i="6" s="1"/>
  <c r="BC676" i="6" s="1"/>
  <c r="BC677" i="6" s="1"/>
  <c r="BC678" i="6" s="1"/>
  <c r="BC679" i="6" s="1"/>
  <c r="BC680" i="6" s="1"/>
  <c r="BC681" i="6" s="1"/>
  <c r="BC682" i="6" s="1"/>
  <c r="BC683" i="6" s="1"/>
  <c r="BC684" i="6" s="1"/>
  <c r="BC685" i="6" s="1"/>
  <c r="BC686" i="6" s="1"/>
  <c r="BC687" i="6" s="1"/>
  <c r="BC688" i="6" s="1"/>
  <c r="BC689" i="6" s="1"/>
  <c r="BC690" i="6" s="1"/>
  <c r="BC691" i="6" s="1"/>
  <c r="BC692" i="6" s="1"/>
  <c r="BC693" i="6" s="1"/>
  <c r="BC694" i="6" s="1"/>
  <c r="BC695" i="6" s="1"/>
  <c r="BC696" i="6" s="1"/>
  <c r="BC697" i="6" s="1"/>
  <c r="BC698" i="6" s="1"/>
  <c r="BC699" i="6" s="1"/>
  <c r="BC700" i="6" s="1"/>
  <c r="BC701" i="6" s="1"/>
  <c r="BC702" i="6" s="1"/>
  <c r="BC703" i="6" s="1"/>
  <c r="BC704" i="6" s="1"/>
  <c r="BC705" i="6" s="1"/>
  <c r="BC706" i="6" s="1"/>
  <c r="BC707" i="6" s="1"/>
  <c r="BC708" i="6" s="1"/>
  <c r="BC709" i="6" s="1"/>
  <c r="BC710" i="6" s="1"/>
  <c r="BC711" i="6" s="1"/>
  <c r="BC712" i="6" s="1"/>
  <c r="BC713" i="6" s="1"/>
  <c r="BC714" i="6" s="1"/>
  <c r="BC715" i="6" s="1"/>
  <c r="BC716" i="6" s="1"/>
  <c r="BC717" i="6" s="1"/>
  <c r="BC718" i="6" s="1"/>
  <c r="BC719" i="6" s="1"/>
  <c r="BC720" i="6" s="1"/>
  <c r="BC721" i="6" s="1"/>
  <c r="BC722" i="6" s="1"/>
  <c r="BC723" i="6" s="1"/>
  <c r="BC724" i="6" s="1"/>
  <c r="BC725" i="6" s="1"/>
  <c r="BC726" i="6" s="1"/>
  <c r="BC727" i="6" s="1"/>
  <c r="BC728" i="6" s="1"/>
  <c r="BC729" i="6" s="1"/>
  <c r="BC730" i="6" s="1"/>
  <c r="BC731" i="6" s="1"/>
  <c r="BC732" i="6" s="1"/>
  <c r="BC733" i="6" s="1"/>
  <c r="BC734" i="6" s="1"/>
  <c r="BC735" i="6" s="1"/>
  <c r="BC736" i="6" s="1"/>
  <c r="BC737" i="6" s="1"/>
  <c r="BC738" i="6" s="1"/>
  <c r="BC739" i="6" s="1"/>
  <c r="BC740" i="6" s="1"/>
  <c r="BC741" i="6" s="1"/>
  <c r="BC742" i="6" s="1"/>
  <c r="BC743" i="6" s="1"/>
  <c r="BC744" i="6" s="1"/>
  <c r="BC745" i="6" s="1"/>
  <c r="BC746" i="6" s="1"/>
  <c r="BC747" i="6" s="1"/>
  <c r="BC748" i="6" s="1"/>
  <c r="BC749" i="6" s="1"/>
  <c r="BC750" i="6" s="1"/>
  <c r="BC751" i="6" s="1"/>
  <c r="BC752" i="6" s="1"/>
  <c r="BC753" i="6" s="1"/>
  <c r="BC754" i="6" s="1"/>
  <c r="BC755" i="6" s="1"/>
  <c r="BC756" i="6" s="1"/>
  <c r="BC757" i="6" s="1"/>
  <c r="BC758" i="6" s="1"/>
  <c r="BC759" i="6" s="1"/>
  <c r="BC760" i="6" s="1"/>
  <c r="BC761" i="6" s="1"/>
  <c r="BC762" i="6" s="1"/>
  <c r="BC763" i="6" s="1"/>
  <c r="BC764" i="6" s="1"/>
  <c r="BC765" i="6" s="1"/>
  <c r="BC766" i="6" s="1"/>
  <c r="BC767" i="6" s="1"/>
  <c r="BC768" i="6" s="1"/>
  <c r="BC769" i="6" s="1"/>
  <c r="BC770" i="6" s="1"/>
  <c r="BC771" i="6" s="1"/>
  <c r="BC772" i="6" s="1"/>
  <c r="BC773" i="6" s="1"/>
  <c r="BC774" i="6" s="1"/>
  <c r="BC775" i="6" s="1"/>
  <c r="BC776" i="6" s="1"/>
  <c r="BC777" i="6" s="1"/>
  <c r="BC778" i="6" s="1"/>
  <c r="BC779" i="6" s="1"/>
  <c r="BC780" i="6" s="1"/>
  <c r="BC781" i="6" s="1"/>
  <c r="BC782" i="6" s="1"/>
  <c r="BC783" i="6" s="1"/>
  <c r="BC784" i="6" s="1"/>
  <c r="BC785" i="6" s="1"/>
  <c r="BC786" i="6" s="1"/>
  <c r="BC787" i="6" s="1"/>
  <c r="BC788" i="6" s="1"/>
  <c r="BC789" i="6" s="1"/>
  <c r="BC790" i="6" s="1"/>
  <c r="BC791" i="6" s="1"/>
  <c r="BC792" i="6" s="1"/>
  <c r="BC793" i="6" s="1"/>
  <c r="BC794" i="6" s="1"/>
  <c r="BC795" i="6" s="1"/>
  <c r="BC796" i="6" s="1"/>
  <c r="BC797" i="6" s="1"/>
  <c r="BC798" i="6" s="1"/>
  <c r="BC799" i="6" s="1"/>
  <c r="BC800" i="6" s="1"/>
  <c r="BC801" i="6" s="1"/>
  <c r="BC802" i="6" s="1"/>
  <c r="BC803" i="6" s="1"/>
  <c r="BC804" i="6" s="1"/>
  <c r="BC805" i="6" s="1"/>
  <c r="BC806" i="6" s="1"/>
  <c r="BC807" i="6" s="1"/>
  <c r="BC808" i="6" s="1"/>
  <c r="BC809" i="6" s="1"/>
  <c r="BC810" i="6" s="1"/>
  <c r="BC811" i="6" s="1"/>
  <c r="BC812" i="6" s="1"/>
  <c r="BC813" i="6" s="1"/>
  <c r="BC814" i="6" s="1"/>
  <c r="BC815" i="6" s="1"/>
  <c r="BC816" i="6" s="1"/>
  <c r="BC817" i="6" s="1"/>
  <c r="BC818" i="6" s="1"/>
  <c r="BC819" i="6" s="1"/>
  <c r="BC820" i="6" s="1"/>
  <c r="BC821" i="6" s="1"/>
  <c r="BC822" i="6" s="1"/>
  <c r="BC823" i="6" s="1"/>
  <c r="BC824" i="6" s="1"/>
  <c r="BC825" i="6" s="1"/>
  <c r="BC826" i="6" s="1"/>
  <c r="BC827" i="6" s="1"/>
  <c r="BC828" i="6" s="1"/>
  <c r="BC829" i="6" s="1"/>
  <c r="BC830" i="6" s="1"/>
  <c r="BC831" i="6" s="1"/>
  <c r="BC832" i="6" s="1"/>
  <c r="BC833" i="6" s="1"/>
  <c r="BC834" i="6" s="1"/>
  <c r="BC835" i="6" s="1"/>
  <c r="AS326" i="6" l="1"/>
  <c r="AR324" i="6"/>
  <c r="AT324" i="6" s="1"/>
  <c r="AR325" i="6" s="1"/>
  <c r="AR326" i="6" s="1"/>
  <c r="AQ282" i="6"/>
  <c r="AR282" i="6" s="1"/>
  <c r="J13" i="6" s="1"/>
  <c r="J9" i="6"/>
  <c r="BG279" i="6"/>
  <c r="BG280" i="6" s="1"/>
  <c r="BG281" i="6" s="1"/>
  <c r="BG282" i="6" s="1"/>
  <c r="BG283" i="6" s="1"/>
  <c r="BG284" i="6" s="1"/>
  <c r="BG285" i="6" s="1"/>
  <c r="BG286" i="6" s="1"/>
  <c r="BG287" i="6" s="1"/>
  <c r="BG288" i="6" s="1"/>
  <c r="BG289" i="6" s="1"/>
  <c r="BG290" i="6" s="1"/>
  <c r="BG291" i="6" s="1"/>
  <c r="BG292" i="6" s="1"/>
  <c r="BG293" i="6" s="1"/>
  <c r="BG294" i="6" s="1"/>
  <c r="BG295" i="6" s="1"/>
  <c r="BG296" i="6" s="1"/>
  <c r="BG297" i="6" s="1"/>
  <c r="BG298" i="6" s="1"/>
  <c r="BG299" i="6" s="1"/>
  <c r="BG300" i="6" s="1"/>
  <c r="BG301" i="6" s="1"/>
  <c r="BG302" i="6" s="1"/>
  <c r="BG303" i="6" s="1"/>
  <c r="BG304" i="6" s="1"/>
  <c r="BG305" i="6" s="1"/>
  <c r="BG306" i="6" s="1"/>
  <c r="BG307" i="6" s="1"/>
  <c r="BG308" i="6" s="1"/>
  <c r="BG309" i="6" s="1"/>
  <c r="BG310" i="6" s="1"/>
  <c r="BG311" i="6" s="1"/>
  <c r="BG312" i="6" s="1"/>
  <c r="BG313" i="6" s="1"/>
  <c r="BG314" i="6" s="1"/>
  <c r="BG315" i="6" s="1"/>
  <c r="BG316" i="6" s="1"/>
  <c r="BG317" i="6" s="1"/>
  <c r="BG318" i="6" s="1"/>
  <c r="BG319" i="6" s="1"/>
  <c r="BG320" i="6" s="1"/>
  <c r="BG321" i="6" s="1"/>
  <c r="BG322" i="6" s="1"/>
  <c r="BG323" i="6" s="1"/>
  <c r="BG324" i="6" s="1"/>
  <c r="BG325" i="6" s="1"/>
  <c r="BG326" i="6" s="1"/>
  <c r="BG327" i="6" s="1"/>
  <c r="BG328" i="6" s="1"/>
  <c r="BG329" i="6" s="1"/>
  <c r="BG330" i="6" s="1"/>
  <c r="BG331" i="6" s="1"/>
  <c r="BG332" i="6" s="1"/>
  <c r="BG333" i="6" s="1"/>
  <c r="BG334" i="6" s="1"/>
  <c r="BG335" i="6" s="1"/>
  <c r="BG336" i="6" s="1"/>
  <c r="BG337" i="6" s="1"/>
  <c r="BG338" i="6" s="1"/>
  <c r="BG339" i="6" s="1"/>
  <c r="BG340" i="6" s="1"/>
  <c r="BG341" i="6" s="1"/>
  <c r="BG342" i="6" s="1"/>
  <c r="BG343" i="6" s="1"/>
  <c r="BG344" i="6" s="1"/>
  <c r="BG345" i="6" s="1"/>
  <c r="BG346" i="6" s="1"/>
  <c r="BG347" i="6" s="1"/>
  <c r="BG348" i="6" s="1"/>
  <c r="BG349" i="6" s="1"/>
  <c r="BG350" i="6" s="1"/>
  <c r="BG351" i="6" s="1"/>
  <c r="BG352" i="6" s="1"/>
  <c r="BG353" i="6" s="1"/>
  <c r="BG354" i="6" s="1"/>
  <c r="BG355" i="6" s="1"/>
  <c r="BG356" i="6" s="1"/>
  <c r="BG357" i="6" s="1"/>
  <c r="BG358" i="6" s="1"/>
  <c r="BG359" i="6" s="1"/>
  <c r="BG360" i="6" s="1"/>
  <c r="BG361" i="6" s="1"/>
  <c r="BG362" i="6" s="1"/>
  <c r="BG363" i="6" s="1"/>
  <c r="BG364" i="6" s="1"/>
  <c r="BG365" i="6" s="1"/>
  <c r="BG366" i="6" s="1"/>
  <c r="BG367" i="6" s="1"/>
  <c r="BG368" i="6" s="1"/>
  <c r="BG369" i="6" s="1"/>
  <c r="BG370" i="6" s="1"/>
  <c r="BG371" i="6" s="1"/>
  <c r="BG372" i="6" s="1"/>
  <c r="BG373" i="6" s="1"/>
  <c r="BG374" i="6" s="1"/>
  <c r="BG375" i="6" s="1"/>
  <c r="BG376" i="6" s="1"/>
  <c r="BG377" i="6" s="1"/>
  <c r="BG378" i="6" s="1"/>
  <c r="BG379" i="6" s="1"/>
  <c r="BG380" i="6" s="1"/>
  <c r="BG381" i="6" s="1"/>
  <c r="BG382" i="6" s="1"/>
  <c r="BG383" i="6" s="1"/>
  <c r="BG384" i="6" s="1"/>
  <c r="BG385" i="6" s="1"/>
  <c r="BG386" i="6" s="1"/>
  <c r="BG387" i="6" s="1"/>
  <c r="BG388" i="6" s="1"/>
  <c r="BG389" i="6" s="1"/>
  <c r="BG390" i="6" s="1"/>
  <c r="BG391" i="6" s="1"/>
  <c r="BG392" i="6" s="1"/>
  <c r="BG393" i="6" s="1"/>
  <c r="BG394" i="6" s="1"/>
  <c r="BG395" i="6" s="1"/>
  <c r="BG396" i="6" s="1"/>
  <c r="BG397" i="6" s="1"/>
  <c r="BG398" i="6" s="1"/>
  <c r="BG399" i="6" s="1"/>
  <c r="BG400" i="6" s="1"/>
  <c r="BG401" i="6" s="1"/>
  <c r="BG402" i="6" s="1"/>
  <c r="BG403" i="6" s="1"/>
  <c r="BG404" i="6" s="1"/>
  <c r="BG405" i="6" s="1"/>
  <c r="BG406" i="6" s="1"/>
  <c r="BG407" i="6" s="1"/>
  <c r="BG408" i="6" s="1"/>
  <c r="BG409" i="6" s="1"/>
  <c r="BG410" i="6" s="1"/>
  <c r="BG411" i="6" s="1"/>
  <c r="BG412" i="6" s="1"/>
  <c r="BG413" i="6" s="1"/>
  <c r="BG414" i="6" s="1"/>
  <c r="BG415" i="6" s="1"/>
  <c r="BG416" i="6" s="1"/>
  <c r="BG417" i="6" s="1"/>
  <c r="BG418" i="6" s="1"/>
  <c r="BG419" i="6" s="1"/>
  <c r="BG420" i="6" s="1"/>
  <c r="BG421" i="6" s="1"/>
  <c r="BG422" i="6" s="1"/>
  <c r="BG423" i="6" s="1"/>
  <c r="BG424" i="6" s="1"/>
  <c r="BG425" i="6" s="1"/>
  <c r="BG426" i="6" s="1"/>
  <c r="BG427" i="6" s="1"/>
  <c r="BG428" i="6" s="1"/>
  <c r="BG429" i="6" s="1"/>
  <c r="BG430" i="6" s="1"/>
  <c r="BG431" i="6" s="1"/>
  <c r="BG432" i="6" s="1"/>
  <c r="BG433" i="6" s="1"/>
  <c r="BG434" i="6" s="1"/>
  <c r="BG435" i="6" s="1"/>
  <c r="BG436" i="6" s="1"/>
  <c r="BG437" i="6" s="1"/>
  <c r="BG438" i="6" s="1"/>
  <c r="BG439" i="6" s="1"/>
  <c r="BG440" i="6" s="1"/>
  <c r="BG441" i="6" s="1"/>
  <c r="BG442" i="6" s="1"/>
  <c r="BG443" i="6" s="1"/>
  <c r="BG444" i="6" s="1"/>
  <c r="BG445" i="6" s="1"/>
  <c r="BG446" i="6" s="1"/>
  <c r="BG447" i="6" s="1"/>
  <c r="BG448" i="6" s="1"/>
  <c r="BG449" i="6" s="1"/>
  <c r="BG450" i="6" s="1"/>
  <c r="BG451" i="6" s="1"/>
  <c r="BG452" i="6" s="1"/>
  <c r="BG453" i="6" s="1"/>
  <c r="BG454" i="6" s="1"/>
  <c r="BG455" i="6" s="1"/>
  <c r="BG456" i="6" s="1"/>
  <c r="BG457" i="6" s="1"/>
  <c r="BG458" i="6" s="1"/>
  <c r="BG459" i="6" s="1"/>
  <c r="BG460" i="6" s="1"/>
  <c r="BG461" i="6" s="1"/>
  <c r="BG462" i="6" s="1"/>
  <c r="BG463" i="6" s="1"/>
  <c r="BG464" i="6" s="1"/>
  <c r="BG465" i="6" s="1"/>
  <c r="BG466" i="6" s="1"/>
  <c r="BG467" i="6" s="1"/>
  <c r="BG468" i="6" s="1"/>
  <c r="BG469" i="6" s="1"/>
  <c r="BG470" i="6" s="1"/>
  <c r="BG471" i="6" s="1"/>
  <c r="BG472" i="6" s="1"/>
  <c r="BG473" i="6" s="1"/>
  <c r="BG474" i="6" s="1"/>
  <c r="BG475" i="6" s="1"/>
  <c r="BG476" i="6" s="1"/>
  <c r="BG477" i="6" s="1"/>
  <c r="BG478" i="6" s="1"/>
  <c r="BG479" i="6" s="1"/>
  <c r="BG480" i="6" s="1"/>
  <c r="BG481" i="6" s="1"/>
  <c r="BG482" i="6" s="1"/>
  <c r="BG483" i="6" s="1"/>
  <c r="BG484" i="6" s="1"/>
  <c r="BG485" i="6" s="1"/>
  <c r="BG486" i="6" s="1"/>
  <c r="BG487" i="6" s="1"/>
  <c r="BG488" i="6" s="1"/>
  <c r="BG489" i="6" s="1"/>
  <c r="BG490" i="6" s="1"/>
  <c r="BG491" i="6" s="1"/>
  <c r="BG492" i="6" s="1"/>
  <c r="BG493" i="6" s="1"/>
  <c r="BG494" i="6" s="1"/>
  <c r="BG495" i="6" s="1"/>
  <c r="BG496" i="6" s="1"/>
  <c r="BG497" i="6" s="1"/>
  <c r="BG498" i="6" s="1"/>
  <c r="BG499" i="6" s="1"/>
  <c r="BG500" i="6" s="1"/>
  <c r="BG501" i="6" s="1"/>
  <c r="BG502" i="6" s="1"/>
  <c r="BG503" i="6" s="1"/>
  <c r="BG504" i="6" s="1"/>
  <c r="BG505" i="6" s="1"/>
  <c r="BG506" i="6" s="1"/>
  <c r="BG507" i="6" s="1"/>
  <c r="BG508" i="6" s="1"/>
  <c r="BG509" i="6" s="1"/>
  <c r="BG510" i="6" s="1"/>
  <c r="BG511" i="6" s="1"/>
  <c r="BG512" i="6" s="1"/>
  <c r="BG513" i="6" s="1"/>
  <c r="BG514" i="6" s="1"/>
  <c r="BG515" i="6" s="1"/>
  <c r="BG516" i="6" s="1"/>
  <c r="BG517" i="6" s="1"/>
  <c r="BG518" i="6" s="1"/>
  <c r="BG519" i="6" s="1"/>
  <c r="BG520" i="6" s="1"/>
  <c r="BG521" i="6" s="1"/>
  <c r="BG522" i="6" s="1"/>
  <c r="BG523" i="6" s="1"/>
  <c r="BG524" i="6" s="1"/>
  <c r="BG525" i="6" s="1"/>
  <c r="BG526" i="6" s="1"/>
  <c r="BG527" i="6" s="1"/>
  <c r="BG528" i="6" s="1"/>
  <c r="BG529" i="6" s="1"/>
  <c r="BG530" i="6" s="1"/>
  <c r="BG531" i="6" s="1"/>
  <c r="BG532" i="6" s="1"/>
  <c r="BG533" i="6" s="1"/>
  <c r="BG534" i="6" s="1"/>
  <c r="BG535" i="6" s="1"/>
  <c r="BG536" i="6" s="1"/>
  <c r="BG537" i="6" s="1"/>
  <c r="BG538" i="6" s="1"/>
  <c r="BG539" i="6" s="1"/>
  <c r="BG540" i="6" s="1"/>
  <c r="BG541" i="6" s="1"/>
  <c r="BG542" i="6" s="1"/>
  <c r="BG543" i="6" s="1"/>
  <c r="BG544" i="6" s="1"/>
  <c r="BG545" i="6" s="1"/>
  <c r="BG546" i="6" s="1"/>
  <c r="BG547" i="6" s="1"/>
  <c r="BG548" i="6" s="1"/>
  <c r="BG549" i="6" s="1"/>
  <c r="BG550" i="6" s="1"/>
  <c r="BG551" i="6" s="1"/>
  <c r="BG552" i="6" s="1"/>
  <c r="BG553" i="6" s="1"/>
  <c r="BG554" i="6" s="1"/>
  <c r="BG555" i="6" s="1"/>
  <c r="BG556" i="6" s="1"/>
  <c r="BG557" i="6" s="1"/>
  <c r="BG558" i="6" s="1"/>
  <c r="BG559" i="6" s="1"/>
  <c r="BG560" i="6" s="1"/>
  <c r="BG561" i="6" s="1"/>
  <c r="BG562" i="6" s="1"/>
  <c r="BG563" i="6" s="1"/>
  <c r="BG564" i="6" s="1"/>
  <c r="BG565" i="6" s="1"/>
  <c r="BG566" i="6" s="1"/>
  <c r="BG567" i="6" s="1"/>
  <c r="BG568" i="6" s="1"/>
  <c r="BG569" i="6" s="1"/>
  <c r="BG570" i="6" s="1"/>
  <c r="BG571" i="6" s="1"/>
  <c r="BG572" i="6" s="1"/>
  <c r="BG573" i="6" s="1"/>
  <c r="BG574" i="6" s="1"/>
  <c r="BG575" i="6" s="1"/>
  <c r="BG576" i="6" s="1"/>
  <c r="BG577" i="6" s="1"/>
  <c r="BG578" i="6" s="1"/>
  <c r="BG579" i="6" s="1"/>
  <c r="BG580" i="6" s="1"/>
  <c r="BG581" i="6" s="1"/>
  <c r="BG582" i="6" s="1"/>
  <c r="BG583" i="6" s="1"/>
  <c r="BG584" i="6" s="1"/>
  <c r="BG585" i="6" s="1"/>
  <c r="BG586" i="6" s="1"/>
  <c r="BG587" i="6" s="1"/>
  <c r="BG588" i="6" s="1"/>
  <c r="BG589" i="6" s="1"/>
  <c r="BG590" i="6" s="1"/>
  <c r="BG591" i="6" s="1"/>
  <c r="BG592" i="6" s="1"/>
  <c r="BG593" i="6" s="1"/>
  <c r="BG594" i="6" s="1"/>
  <c r="BG595" i="6" s="1"/>
  <c r="BG596" i="6" s="1"/>
  <c r="BG597" i="6" s="1"/>
  <c r="BG598" i="6" s="1"/>
  <c r="BG599" i="6" s="1"/>
  <c r="BG600" i="6" s="1"/>
  <c r="BG601" i="6" s="1"/>
  <c r="BG602" i="6" s="1"/>
  <c r="BG603" i="6" s="1"/>
  <c r="BG604" i="6" s="1"/>
  <c r="BG605" i="6" s="1"/>
  <c r="BG606" i="6" s="1"/>
  <c r="BG607" i="6" s="1"/>
  <c r="BG608" i="6" s="1"/>
  <c r="BG609" i="6" s="1"/>
  <c r="BG610" i="6" s="1"/>
  <c r="BG611" i="6" s="1"/>
  <c r="BG612" i="6" s="1"/>
  <c r="BG613" i="6" s="1"/>
  <c r="BG614" i="6" s="1"/>
  <c r="BG615" i="6" s="1"/>
  <c r="BG616" i="6" s="1"/>
  <c r="BG617" i="6" s="1"/>
  <c r="BG618" i="6" s="1"/>
  <c r="BG619" i="6" s="1"/>
  <c r="BG620" i="6" s="1"/>
  <c r="BG621" i="6" s="1"/>
  <c r="BG622" i="6" s="1"/>
  <c r="BG623" i="6" s="1"/>
  <c r="BG624" i="6" s="1"/>
  <c r="BG625" i="6" s="1"/>
  <c r="BG626" i="6" s="1"/>
  <c r="BG627" i="6" s="1"/>
  <c r="BG628" i="6" s="1"/>
  <c r="BG629" i="6" s="1"/>
  <c r="BG630" i="6" s="1"/>
  <c r="BG631" i="6" s="1"/>
  <c r="BG632" i="6" s="1"/>
  <c r="BG633" i="6" s="1"/>
  <c r="BG634" i="6" s="1"/>
  <c r="BG635" i="6" s="1"/>
  <c r="BG636" i="6" s="1"/>
  <c r="BG637" i="6" s="1"/>
  <c r="BG638" i="6" s="1"/>
  <c r="BG639" i="6" s="1"/>
  <c r="BG640" i="6" s="1"/>
  <c r="BG641" i="6" s="1"/>
  <c r="BG642" i="6" s="1"/>
  <c r="BG643" i="6" s="1"/>
  <c r="BG644" i="6" s="1"/>
  <c r="BG645" i="6" s="1"/>
  <c r="BG646" i="6" s="1"/>
  <c r="BG647" i="6" s="1"/>
  <c r="BG648" i="6" s="1"/>
  <c r="BG649" i="6" s="1"/>
  <c r="BG650" i="6" s="1"/>
  <c r="BG651" i="6" s="1"/>
  <c r="BG652" i="6" s="1"/>
  <c r="BG653" i="6" s="1"/>
  <c r="BG654" i="6" s="1"/>
  <c r="BG655" i="6" s="1"/>
  <c r="BG656" i="6" s="1"/>
  <c r="BG657" i="6" s="1"/>
  <c r="BG658" i="6" s="1"/>
  <c r="BG659" i="6" s="1"/>
  <c r="BG660" i="6" s="1"/>
  <c r="BG661" i="6" s="1"/>
  <c r="BG662" i="6" s="1"/>
  <c r="BG663" i="6" s="1"/>
  <c r="BG664" i="6" s="1"/>
  <c r="BG665" i="6" s="1"/>
  <c r="BG666" i="6" s="1"/>
  <c r="BG667" i="6" s="1"/>
  <c r="BG668" i="6" s="1"/>
  <c r="BG669" i="6" s="1"/>
  <c r="BG670" i="6" s="1"/>
  <c r="BG671" i="6" s="1"/>
  <c r="BG672" i="6" s="1"/>
  <c r="BG673" i="6" s="1"/>
  <c r="BG674" i="6" s="1"/>
  <c r="BG675" i="6" s="1"/>
  <c r="BG676" i="6" s="1"/>
  <c r="BG677" i="6" s="1"/>
  <c r="BG678" i="6" s="1"/>
  <c r="BG679" i="6" s="1"/>
  <c r="BG680" i="6" s="1"/>
  <c r="BG681" i="6" s="1"/>
  <c r="BG682" i="6" s="1"/>
  <c r="BG683" i="6" s="1"/>
  <c r="BG684" i="6" s="1"/>
  <c r="BG685" i="6" s="1"/>
  <c r="BG686" i="6" s="1"/>
  <c r="BG687" i="6" s="1"/>
  <c r="BG688" i="6" s="1"/>
  <c r="BG689" i="6" s="1"/>
  <c r="BG690" i="6" s="1"/>
  <c r="BG691" i="6" s="1"/>
  <c r="BG692" i="6" s="1"/>
  <c r="BG693" i="6" s="1"/>
  <c r="BG694" i="6" s="1"/>
  <c r="BG695" i="6" s="1"/>
  <c r="BG696" i="6" s="1"/>
  <c r="BG697" i="6" s="1"/>
  <c r="BG698" i="6" s="1"/>
  <c r="BG699" i="6" s="1"/>
  <c r="BG700" i="6" s="1"/>
  <c r="BG701" i="6" s="1"/>
  <c r="BG702" i="6" s="1"/>
  <c r="BG703" i="6" s="1"/>
  <c r="BG704" i="6" s="1"/>
  <c r="BG705" i="6" s="1"/>
  <c r="BG706" i="6" s="1"/>
  <c r="BG707" i="6" s="1"/>
  <c r="BG708" i="6" s="1"/>
  <c r="BG709" i="6" s="1"/>
  <c r="BG710" i="6" s="1"/>
  <c r="BG711" i="6" s="1"/>
  <c r="BG712" i="6" s="1"/>
  <c r="BG713" i="6" s="1"/>
  <c r="BG714" i="6" s="1"/>
  <c r="BG715" i="6" s="1"/>
  <c r="BG716" i="6" s="1"/>
  <c r="BG717" i="6" s="1"/>
  <c r="BG718" i="6" s="1"/>
  <c r="BG719" i="6" s="1"/>
  <c r="BG720" i="6" s="1"/>
  <c r="BG721" i="6" s="1"/>
  <c r="BG722" i="6" s="1"/>
  <c r="BG723" i="6" s="1"/>
  <c r="BG724" i="6" s="1"/>
  <c r="BG725" i="6" s="1"/>
  <c r="BG726" i="6" s="1"/>
  <c r="BG727" i="6" s="1"/>
  <c r="BG728" i="6" s="1"/>
  <c r="BG729" i="6" s="1"/>
  <c r="BG730" i="6" s="1"/>
  <c r="BG731" i="6" s="1"/>
  <c r="BG732" i="6" s="1"/>
  <c r="BG733" i="6" s="1"/>
  <c r="BG734" i="6" s="1"/>
  <c r="BG735" i="6" s="1"/>
  <c r="BG736" i="6" s="1"/>
  <c r="BG737" i="6" s="1"/>
  <c r="BG738" i="6" s="1"/>
  <c r="BG739" i="6" s="1"/>
  <c r="BG740" i="6" s="1"/>
  <c r="BG741" i="6" s="1"/>
  <c r="BG742" i="6" s="1"/>
  <c r="BG743" i="6" s="1"/>
  <c r="BG744" i="6" s="1"/>
  <c r="BG745" i="6" s="1"/>
  <c r="BG746" i="6" s="1"/>
  <c r="BG747" i="6" s="1"/>
  <c r="BG748" i="6" s="1"/>
  <c r="BG749" i="6" s="1"/>
  <c r="BG750" i="6" s="1"/>
  <c r="BG751" i="6" s="1"/>
  <c r="BG752" i="6" s="1"/>
  <c r="BG753" i="6" s="1"/>
  <c r="BG754" i="6" s="1"/>
  <c r="BG755" i="6" s="1"/>
  <c r="BG756" i="6" s="1"/>
  <c r="BG757" i="6" s="1"/>
  <c r="BG758" i="6" s="1"/>
  <c r="BG759" i="6" s="1"/>
  <c r="BG760" i="6" s="1"/>
  <c r="BG761" i="6" s="1"/>
  <c r="BG762" i="6" s="1"/>
  <c r="BG763" i="6" s="1"/>
  <c r="BG764" i="6" s="1"/>
  <c r="BG765" i="6" s="1"/>
  <c r="BG766" i="6" s="1"/>
  <c r="BG767" i="6" s="1"/>
  <c r="BG768" i="6" s="1"/>
  <c r="BG769" i="6" s="1"/>
  <c r="BG770" i="6" s="1"/>
  <c r="BG771" i="6" s="1"/>
  <c r="BG772" i="6" s="1"/>
  <c r="BG773" i="6" s="1"/>
  <c r="BG774" i="6" s="1"/>
  <c r="BG775" i="6" s="1"/>
  <c r="BG776" i="6" s="1"/>
  <c r="BG777" i="6" s="1"/>
  <c r="BG778" i="6" s="1"/>
  <c r="BG779" i="6" s="1"/>
  <c r="BG780" i="6" s="1"/>
  <c r="BG781" i="6" s="1"/>
  <c r="BG782" i="6" s="1"/>
  <c r="BG783" i="6" s="1"/>
  <c r="BG784" i="6" s="1"/>
  <c r="BG785" i="6" s="1"/>
  <c r="BG786" i="6" s="1"/>
  <c r="BG787" i="6" s="1"/>
  <c r="BG788" i="6" s="1"/>
  <c r="BG789" i="6" s="1"/>
  <c r="BG790" i="6" s="1"/>
  <c r="BG791" i="6" s="1"/>
  <c r="BG792" i="6" s="1"/>
  <c r="BG793" i="6" s="1"/>
  <c r="BG794" i="6" s="1"/>
  <c r="BG795" i="6" s="1"/>
  <c r="BG796" i="6" s="1"/>
  <c r="BG797" i="6" s="1"/>
  <c r="BG798" i="6" s="1"/>
  <c r="BG799" i="6" s="1"/>
  <c r="BG800" i="6" s="1"/>
  <c r="BG801" i="6" s="1"/>
  <c r="BG802" i="6" s="1"/>
  <c r="BG803" i="6" s="1"/>
  <c r="BG804" i="6" s="1"/>
  <c r="BG805" i="6" s="1"/>
  <c r="BG806" i="6" s="1"/>
  <c r="BG807" i="6" s="1"/>
  <c r="BG808" i="6" s="1"/>
  <c r="BG809" i="6" s="1"/>
  <c r="BG810" i="6" s="1"/>
  <c r="BG811" i="6" s="1"/>
  <c r="BG812" i="6" s="1"/>
  <c r="BG813" i="6" s="1"/>
  <c r="BG814" i="6" s="1"/>
  <c r="BG815" i="6" s="1"/>
  <c r="BG816" i="6" s="1"/>
  <c r="BG817" i="6" s="1"/>
  <c r="BG818" i="6" s="1"/>
  <c r="BG819" i="6" s="1"/>
  <c r="BG820" i="6" s="1"/>
  <c r="BG821" i="6" s="1"/>
  <c r="BG822" i="6" s="1"/>
  <c r="BG823" i="6" s="1"/>
  <c r="BG824" i="6" s="1"/>
  <c r="BG825" i="6" s="1"/>
  <c r="BG826" i="6" s="1"/>
  <c r="BG827" i="6" s="1"/>
  <c r="BG828" i="6" s="1"/>
  <c r="BG829" i="6" s="1"/>
  <c r="BG830" i="6" s="1"/>
  <c r="BG831" i="6" s="1"/>
  <c r="BG832" i="6" s="1"/>
  <c r="BG833" i="6" s="1"/>
  <c r="BG834" i="6" s="1"/>
  <c r="BG835" i="6" s="1"/>
  <c r="BG836" i="6" s="1"/>
  <c r="AQ280" i="6"/>
  <c r="AR330" i="6"/>
  <c r="AT330" i="6" s="1"/>
  <c r="C15" i="6" l="1"/>
  <c r="AQ281" i="6"/>
  <c r="K6" i="6"/>
  <c r="AR323" i="6"/>
  <c r="AR285" i="6"/>
  <c r="AT285" i="6" s="1"/>
  <c r="AR287" i="6"/>
  <c r="AT287" i="6" s="1"/>
  <c r="AR286" i="6"/>
  <c r="AT286" i="6" s="1"/>
  <c r="AS285" i="6" l="1"/>
  <c r="AU285" i="6" s="1"/>
  <c r="AV285" i="6" s="1"/>
  <c r="AW285" i="6" s="1"/>
  <c r="AS286" i="6"/>
  <c r="AU286" i="6" s="1"/>
  <c r="AV286" i="6" s="1"/>
  <c r="AW286" i="6" s="1"/>
  <c r="AS287" i="6"/>
  <c r="AU287" i="6" s="1"/>
  <c r="AV287" i="6" s="1"/>
  <c r="AW309" i="6"/>
  <c r="AX285" i="6" l="1"/>
  <c r="J15" i="6" s="1"/>
  <c r="AX286" i="6"/>
  <c r="J17" i="6" s="1"/>
  <c r="AW287" i="6"/>
  <c r="AX287" i="6" s="1"/>
  <c r="J19" i="6" s="1"/>
  <c r="BC836" i="6" l="1"/>
  <c r="AW313" i="6"/>
  <c r="AW314" i="6"/>
  <c r="BC837" i="6" l="1"/>
  <c r="BC838" i="6" l="1"/>
  <c r="BC839" i="6" l="1"/>
  <c r="BC840" i="6" l="1"/>
  <c r="BC841" i="6" l="1"/>
  <c r="BC842" i="6" l="1"/>
  <c r="BC843" i="6" l="1"/>
  <c r="BC844" i="6" l="1"/>
  <c r="BC845" i="6" l="1"/>
  <c r="BC846" i="6" l="1"/>
  <c r="BC847" i="6" l="1"/>
  <c r="BC848" i="6" l="1"/>
  <c r="BC849" i="6" l="1"/>
  <c r="BC850" i="6" l="1"/>
  <c r="BC851" i="6" l="1"/>
  <c r="BC852" i="6" l="1"/>
  <c r="BC853" i="6" l="1"/>
  <c r="BC854" i="6" l="1"/>
  <c r="AW310" i="6"/>
  <c r="AW306" i="6"/>
  <c r="AW312" i="6"/>
  <c r="AW307" i="6"/>
  <c r="AW311" i="6"/>
  <c r="AW315" i="6"/>
  <c r="AW308" i="6"/>
</calcChain>
</file>

<file path=xl/sharedStrings.xml><?xml version="1.0" encoding="utf-8"?>
<sst xmlns="http://schemas.openxmlformats.org/spreadsheetml/2006/main" count="217" uniqueCount="178">
  <si>
    <t>MEF-8</t>
  </si>
  <si>
    <t>IP/UDP</t>
  </si>
  <si>
    <t>MPLS</t>
  </si>
  <si>
    <t>SMAC</t>
  </si>
  <si>
    <t>DMAC</t>
  </si>
  <si>
    <t>VLAN</t>
  </si>
  <si>
    <t>E-TYPE</t>
  </si>
  <si>
    <t>IP</t>
  </si>
  <si>
    <t>UDP</t>
  </si>
  <si>
    <t>MPLS-L1</t>
  </si>
  <si>
    <t>MPLS-L2</t>
  </si>
  <si>
    <t>PWE-CW</t>
  </si>
  <si>
    <t>MEF8-ECID</t>
  </si>
  <si>
    <t>VLAN?</t>
  </si>
  <si>
    <t>RTP?</t>
  </si>
  <si>
    <t>PWE-RTP</t>
  </si>
  <si>
    <t>PSN Header utilization</t>
  </si>
  <si>
    <t>Product</t>
  </si>
  <si>
    <t>E4G-200</t>
  </si>
  <si>
    <t>E4G-400</t>
  </si>
  <si>
    <t>PSN Encapsulation</t>
  </si>
  <si>
    <t>Channel(s)</t>
  </si>
  <si>
    <t>Number of Channel(s) must be less than or equal to 24 for T1</t>
  </si>
  <si>
    <t>Number of Channel(s) must be less than or equal to 32 for E1</t>
  </si>
  <si>
    <t>E1</t>
  </si>
  <si>
    <t>T1</t>
  </si>
  <si>
    <t>No Error(s)</t>
  </si>
  <si>
    <t>Error:</t>
  </si>
  <si>
    <t>Validation</t>
  </si>
  <si>
    <t>Hierachy Information</t>
  </si>
  <si>
    <t>Hierarchy</t>
  </si>
  <si>
    <t>Max
channel(s)</t>
  </si>
  <si>
    <t>Channel List</t>
  </si>
  <si>
    <t>e1unframed</t>
  </si>
  <si>
    <t>e1basic</t>
  </si>
  <si>
    <t>e1mf</t>
  </si>
  <si>
    <t>t1all</t>
  </si>
  <si>
    <t>t1unframed</t>
  </si>
  <si>
    <t>PWE Type
Index</t>
  </si>
  <si>
    <t>PWE
Hierarchy</t>
  </si>
  <si>
    <t>PWE
Type</t>
  </si>
  <si>
    <t>Channel(s)
List</t>
  </si>
  <si>
    <t>E1, Unframed</t>
  </si>
  <si>
    <t>E1, Basic</t>
  </si>
  <si>
    <t>E1, MF</t>
  </si>
  <si>
    <t>E1, MF/CAS</t>
  </si>
  <si>
    <t>T1, Unframed</t>
  </si>
  <si>
    <t>T1, SF</t>
  </si>
  <si>
    <t>T1, ESF</t>
  </si>
  <si>
    <t>Max
Channel(s)</t>
  </si>
  <si>
    <t>Max Payload</t>
  </si>
  <si>
    <t>Max Frame(s)</t>
  </si>
  <si>
    <t>X1X2X3</t>
  </si>
  <si>
    <t>Basic Payload</t>
  </si>
  <si>
    <t>MF Payload</t>
  </si>
  <si>
    <t>SF/ESF Payload</t>
  </si>
  <si>
    <t>Payload
Frames</t>
  </si>
  <si>
    <t>payldBasic</t>
  </si>
  <si>
    <t>payldMF</t>
  </si>
  <si>
    <t>payldSF</t>
  </si>
  <si>
    <t>T1, SF/RBS</t>
  </si>
  <si>
    <t>T1, ESF/RBS</t>
  </si>
  <si>
    <t>Total
Frames</t>
  </si>
  <si>
    <t>Max
Frames</t>
  </si>
  <si>
    <t>Max Jitter Buffer</t>
  </si>
  <si>
    <t>Jitter Buffer</t>
  </si>
  <si>
    <t>Packet Latency</t>
  </si>
  <si>
    <t>Vlan Tagged?</t>
  </si>
  <si>
    <t>RTP Header?</t>
  </si>
  <si>
    <t>Jitter Buffer Depth</t>
  </si>
  <si>
    <t>uS</t>
  </si>
  <si>
    <t>Max Jitter Entries</t>
  </si>
  <si>
    <t>Def. Max Jitter Buffer</t>
  </si>
  <si>
    <t>Def. Min Jitter Buffer</t>
  </si>
  <si>
    <t>Default Jitter Depth</t>
  </si>
  <si>
    <t>Residue</t>
  </si>
  <si>
    <t>Unframed Payload</t>
  </si>
  <si>
    <t>Default
Frames/bytes</t>
  </si>
  <si>
    <t>PSN Traffic Budget</t>
  </si>
  <si>
    <t>Type</t>
  </si>
  <si>
    <t>Header</t>
  </si>
  <si>
    <t>Packet Payload</t>
  </si>
  <si>
    <t>Bits per
second</t>
  </si>
  <si>
    <t>Quick Help</t>
  </si>
  <si>
    <t>bps</t>
  </si>
  <si>
    <t>Per Frame</t>
  </si>
  <si>
    <t>Per Bit</t>
  </si>
  <si>
    <t>Actual</t>
  </si>
  <si>
    <t>CAS size</t>
  </si>
  <si>
    <t>Fragments</t>
  </si>
  <si>
    <t>CAS?</t>
  </si>
  <si>
    <t>Last packet size</t>
  </si>
  <si>
    <t>Preamble</t>
  </si>
  <si>
    <t>Inter-Frame Gap</t>
  </si>
  <si>
    <t>PPS</t>
  </si>
  <si>
    <t>Payload bits</t>
  </si>
  <si>
    <t>Last Packet</t>
  </si>
  <si>
    <t>Payload Sz</t>
  </si>
  <si>
    <t>Rounded
Last Packet</t>
  </si>
  <si>
    <t>Frame-CRC</t>
  </si>
  <si>
    <t>Rounded
Payload sz</t>
  </si>
  <si>
    <t>CAS
Bits</t>
  </si>
  <si>
    <t>Product:</t>
  </si>
  <si>
    <t>Service type:</t>
  </si>
  <si>
    <t>Channel(s) in Bundle:</t>
  </si>
  <si>
    <t>Last Packet Size</t>
  </si>
  <si>
    <t>Minimum:</t>
  </si>
  <si>
    <t>Maximum:</t>
  </si>
  <si>
    <t>IPG</t>
  </si>
  <si>
    <t>Ethernet (MEF-8):</t>
  </si>
  <si>
    <t>IPv4/UDP:</t>
  </si>
  <si>
    <t>MPLS:</t>
  </si>
  <si>
    <t>TDM Size Estimates</t>
  </si>
  <si>
    <t>Fragment</t>
  </si>
  <si>
    <t>Packetization Latency:</t>
  </si>
  <si>
    <t>Delay Estimates</t>
  </si>
  <si>
    <t>End-to-End delay:</t>
  </si>
  <si>
    <t>Validation Messages</t>
  </si>
  <si>
    <t>PSN Bandwidth Estimates</t>
  </si>
  <si>
    <t>PSN packet rate:</t>
  </si>
  <si>
    <t>pps</t>
  </si>
  <si>
    <t>CAS</t>
  </si>
  <si>
    <t>FRAG</t>
  </si>
  <si>
    <t>Min Payload</t>
  </si>
  <si>
    <t>Bits</t>
  </si>
  <si>
    <t>Byte</t>
  </si>
  <si>
    <t>$C$3</t>
  </si>
  <si>
    <t>$C$5</t>
  </si>
  <si>
    <t>$C$7</t>
  </si>
  <si>
    <t>$C$9</t>
  </si>
  <si>
    <t>$A$11</t>
  </si>
  <si>
    <t>$G$6</t>
  </si>
  <si>
    <t>$I$6</t>
  </si>
  <si>
    <t>$J$9</t>
  </si>
  <si>
    <t>$J$13</t>
  </si>
  <si>
    <t>$Q$5</t>
  </si>
  <si>
    <t>$A$15</t>
  </si>
  <si>
    <t>$F$24</t>
  </si>
  <si>
    <t>End-to-End delay</t>
  </si>
  <si>
    <t>Internal
Delay</t>
  </si>
  <si>
    <t>$A$1</t>
  </si>
  <si>
    <r>
      <t xml:space="preserve">CESoP / SAToP Jitter Buffer Budget
</t>
    </r>
    <r>
      <rPr>
        <b/>
        <sz val="8"/>
        <color theme="0"/>
        <rFont val="Arial Black"/>
        <family val="2"/>
      </rPr>
      <t>RFC5086 / RFC4553</t>
    </r>
  </si>
  <si>
    <t>The input validation messages such as errors in not meeting the constraints, performed auto alignment and recommended values are reported in this tab.</t>
  </si>
  <si>
    <t>The service type specifies the attachment circuit line/framing type. The framing bits, CRC, FDL and other messages received on the attachment circuit in framed operation, are not included in the PSN encapsulation.
          MF - Signaling Multi Frame
        CAS - Channel Associated Signaling
        RBS - Robbed Bit Signaling
           SF - Super Frame (also D4)
         ESF - Extended Super Frame</t>
  </si>
  <si>
    <t>Specifies the number of Timeslot(s) from the attachment circuit bundled in the service. 
      1. This field has no significance in the unframed service types.
      2. For E1, Basic and MultiFrame (MF) service types, Framing timeslot (TS0) and Signaling timeslot (TS16)  are excluded.</t>
  </si>
  <si>
    <t>The following encapsulation types are supported:
    1. Ethernet (MEF-8)
    2. IPv4/UDP
    3. MPLS -- Two label
VLAN tagging is optional and shall include no more than one tag. RTP header shall be included on pseudo-wires provisioned for differential clock recovery.</t>
  </si>
  <si>
    <t>$C$17</t>
  </si>
  <si>
    <t>$C$19</t>
  </si>
  <si>
    <t>Specifies the depth of jitter buffer to compensate for the packet delay variation in the PSN network. Two thresholds for handling the late/earlier arrival of packets shall be provisioned.
   1. The jitter buffer depth provisoned shall not exceed 256 times the Packet latency for the given TDM payload.
   2. The jitter buffer depths shall be specified in multiples of Packet latency. The values are subject to round off to Packet latency.</t>
  </si>
  <si>
    <t>The Minimum Jitter Buffer depth specifies the amount of time for which the TDM payload is accumulated before which the transmission to the attachment circuit happens.
   1. This parameter shall be programmed to reflect the average PDV in the network.
   2. The transmission to TDM starts only when the payload accumulated, reaches this threshold.</t>
  </si>
  <si>
    <t>Specifies the amount of time taken for encapsulating the TDM payload as PSN packet. Also known as packetization delay.</t>
  </si>
  <si>
    <t>HELP TEXT</t>
  </si>
  <si>
    <t>Specifies the TDM payload in units of byte(s) or frame(s) . 
    1. A minimum of 1 frame or 32-byte from TDM service shall be provisioned.
    2. Maximum number of bytes from the TDM service used for encapsulation is limited to 576 bytes.
    3. Maximum number of frames are subject to same constraints depending on the number of channels in the bundle.</t>
  </si>
  <si>
    <t>Specifies the number of pseudo-wire PSN packets generated per second for the given service encapsulation parameters.
The bandwidth utilization for all encapsulation types are listed. The frame CRC size of 4 bytes are included by default in the bandwidth computation.</t>
  </si>
  <si>
    <r>
      <t>Copyright</t>
    </r>
    <r>
      <rPr>
        <b/>
        <sz val="9"/>
        <color theme="0"/>
        <rFont val="Calibri"/>
        <family val="2"/>
      </rPr>
      <t>©</t>
    </r>
    <r>
      <rPr>
        <b/>
        <sz val="9"/>
        <color theme="0"/>
        <rFont val="Candara"/>
        <family val="2"/>
      </rPr>
      <t xml:space="preserve"> Extreme Networks, 2011.  Visit us at www.extremenetworks.com</t>
    </r>
  </si>
  <si>
    <t>byte(s)</t>
  </si>
  <si>
    <t>byte(s)/packet</t>
  </si>
  <si>
    <t>CAS/RBS</t>
  </si>
  <si>
    <t>For signaling enabled service types (E1-MF/CAS, T1-SF/RBS, T1-ESF/RBS), the signalling bits are encapsulated in-band at the end of one Multiframe (RFC5086, sec: 5.4).
The pseudo-wire packets are fragmented (PWE fragmentation) when sub-multiframe payload is encapsulated.
The Last packet applies only to signaling enabled service types, specifying the TDM bytes in last fragment packet including CAS/RBS bits.</t>
  </si>
  <si>
    <t>Revision History</t>
  </si>
  <si>
    <t>Initial version</t>
  </si>
  <si>
    <t>Add revision history, add global location update in selection change() routine.</t>
  </si>
  <si>
    <t>Errors/Warnings</t>
  </si>
  <si>
    <t>payldUnframed</t>
  </si>
  <si>
    <t>Fix default values for blank fields</t>
  </si>
  <si>
    <t>This tool calculates the estimate of PSN bandwidth and the end-to-end latency incurred in encapsulating given TDM payload. The calculations are applicable to the encapsulation formats specified in RFC5086 (CESoP) and RFC4553 (SAToP).</t>
  </si>
  <si>
    <t>$C$21</t>
  </si>
  <si>
    <t>Propagation Delay</t>
  </si>
  <si>
    <t>Specifies the transit delay and other fixed delays induced by the network elements. The fixed delays are not compensated by the jitter buffer and hence would be directly reflected in the end-to-end delay measurement.</t>
  </si>
  <si>
    <t>The Maximum Jitter Buffer depth specifies the limit of TDM payload that could be accumulated, exceeding of which results in overrun.
   1. This parameter shall be programmed to accommodate burst of packets, typically, Minimum jitter buffer depth plus the difference in the maximum and minimum PDV.
   2. This parameter shall be atleast one packet latency more than the Minimum Jitter Buffer depth.</t>
  </si>
  <si>
    <t>PayldBasic</t>
  </si>
  <si>
    <t>Include Packet-Latency?</t>
  </si>
  <si>
    <t>Other Fixed Delays:</t>
  </si>
  <si>
    <t>Specifies the observed end-to-end latency (one-way delay) for the transport of TDM streams. This value is observed in systems that are directly connected and hence includes the minimal PDV and internal delays.
The minimal jitter buffer depth includes the packetization latency and is not added again to the end-to-end latency calculation.</t>
  </si>
  <si>
    <t>Update calculations based on the relaxation for Payload size.</t>
  </si>
  <si>
    <t>Tool Version: 0.4</t>
  </si>
  <si>
    <t>Payload Size</t>
  </si>
  <si>
    <t>Specifies in bytes the amount of TDM data collected from the specified TDM channels and the number of frames, that is included as TDM payload in each PSN packet.
This value is provisioned as the 'payload size' for the given pseudo-wire.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</si>
</sst>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numFmts>
  <fonts count="17" x14ac:knownFonts="1">
    <font>
      <sz val="11"/>
      <color theme="1"/>
      <name val="Calibri"/>
      <family val="2"/>
      <scheme val="minor"/>
    </font>
    <font>
      <b/>
      <sz val="11"/>
      <color theme="1"/>
      <name val="Calibri"/>
      <family val="2"/>
      <scheme val="minor"/>
    </font>
    <font>
      <b/>
      <sz val="14"/>
      <color theme="0"/>
      <name val="Candara"/>
      <family val="2"/>
    </font>
    <font>
      <b/>
      <sz val="10"/>
      <color rgb="FFFF0000"/>
      <name val="Candara"/>
      <family val="2"/>
    </font>
    <font>
      <b/>
      <sz val="10"/>
      <color rgb="FFC00000"/>
      <name val="Cambria"/>
      <family val="1"/>
      <scheme val="major"/>
    </font>
    <font>
      <b/>
      <sz val="10"/>
      <color rgb="FFC00000"/>
      <name val="Calibri"/>
      <family val="2"/>
      <scheme val="minor"/>
    </font>
    <font>
      <b/>
      <sz val="10"/>
      <color theme="1"/>
      <name val="Calibri"/>
      <family val="2"/>
      <scheme val="minor"/>
    </font>
    <font>
      <sz val="11"/>
      <color theme="1"/>
      <name val="Candara"/>
      <family val="2"/>
    </font>
    <font>
      <b/>
      <sz val="9"/>
      <color theme="0"/>
      <name val="Candara"/>
      <family val="2"/>
    </font>
    <font>
      <b/>
      <sz val="10"/>
      <color theme="0"/>
      <name val="Candara"/>
      <family val="2"/>
    </font>
    <font>
      <sz val="10"/>
      <color theme="1"/>
      <name val="Cambria"/>
      <family val="1"/>
      <scheme val="major"/>
    </font>
    <font>
      <b/>
      <sz val="9"/>
      <color theme="0"/>
      <name val="Arial Black"/>
      <family val="2"/>
    </font>
    <font>
      <b/>
      <sz val="8"/>
      <color theme="0"/>
      <name val="Arial Black"/>
      <family val="2"/>
    </font>
    <font>
      <b/>
      <sz val="9"/>
      <color theme="0"/>
      <name val="Calibri"/>
      <family val="2"/>
    </font>
    <font>
      <sz val="11"/>
      <color theme="0"/>
      <name val="Calibri"/>
      <family val="2"/>
      <scheme val="minor"/>
    </font>
    <font>
      <sz val="11"/>
      <name val="Calibri"/>
      <family val="2"/>
      <scheme val="minor"/>
    </font>
    <font>
      <b/>
      <sz val="11"/>
      <name val="Calibri"/>
      <family val="2"/>
      <scheme val="minor"/>
    </font>
  </fonts>
  <fills count="7">
    <fill>
      <patternFill patternType="none"/>
    </fill>
    <fill>
      <patternFill patternType="gray125"/>
    </fill>
    <fill>
      <patternFill patternType="solid">
        <fgColor theme="0"/>
        <bgColor indexed="64"/>
      </patternFill>
    </fill>
    <fill>
      <patternFill patternType="solid">
        <fgColor rgb="FFF8F6FC"/>
        <bgColor indexed="64"/>
      </patternFill>
    </fill>
    <fill>
      <patternFill patternType="solid">
        <fgColor rgb="FFF6F5F9"/>
        <bgColor indexed="64"/>
      </patternFill>
    </fill>
    <fill>
      <patternFill patternType="solid">
        <fgColor theme="7" tint="-0.499984740745262"/>
        <bgColor indexed="64"/>
      </patternFill>
    </fill>
    <fill>
      <patternFill patternType="solid">
        <fgColor rgb="FFFFFFE6"/>
        <bgColor indexed="64"/>
      </patternFill>
    </fill>
  </fills>
  <borders count="38">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medium">
        <color indexed="64"/>
      </left>
      <right/>
      <top style="thin">
        <color indexed="64"/>
      </top>
      <bottom/>
      <diagonal/>
    </border>
    <border>
      <left/>
      <right/>
      <top/>
      <bottom style="thin">
        <color indexed="64"/>
      </bottom>
      <diagonal/>
    </border>
    <border>
      <left style="thin">
        <color theme="7" tint="0.39997558519241921"/>
      </left>
      <right style="thin">
        <color theme="7" tint="0.39997558519241921"/>
      </right>
      <top style="thin">
        <color theme="7" tint="0.39997558519241921"/>
      </top>
      <bottom style="thin">
        <color theme="7" tint="0.39997558519241921"/>
      </bottom>
      <diagonal/>
    </border>
    <border>
      <left style="thin">
        <color theme="7" tint="0.39997558519241921"/>
      </left>
      <right/>
      <top style="thin">
        <color theme="7" tint="0.39997558519241921"/>
      </top>
      <bottom style="thin">
        <color theme="7" tint="0.39997558519241921"/>
      </bottom>
      <diagonal/>
    </border>
    <border>
      <left/>
      <right style="thin">
        <color theme="7" tint="0.39997558519241921"/>
      </right>
      <top style="thin">
        <color theme="7" tint="0.39997558519241921"/>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indexed="64"/>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thin">
        <color theme="7" tint="0.39997558519241921"/>
      </bottom>
      <diagonal/>
    </border>
    <border>
      <left/>
      <right/>
      <top style="thin">
        <color theme="7" tint="0.39997558519241921"/>
      </top>
      <bottom/>
      <diagonal/>
    </border>
    <border>
      <left/>
      <right style="thin">
        <color theme="7" tint="0.39997558519241921"/>
      </right>
      <top/>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right style="medium">
        <color theme="1"/>
      </right>
      <top/>
      <bottom style="medium">
        <color theme="1"/>
      </bottom>
      <diagonal/>
    </border>
    <border>
      <left/>
      <right style="medium">
        <color theme="1"/>
      </right>
      <top/>
      <bottom/>
      <diagonal/>
    </border>
    <border>
      <left/>
      <right/>
      <top/>
      <bottom style="medium">
        <color theme="1"/>
      </bottom>
      <diagonal/>
    </border>
    <border>
      <left/>
      <right/>
      <top style="thin">
        <color theme="1"/>
      </top>
      <bottom/>
      <diagonal/>
    </border>
    <border>
      <left style="medium">
        <color theme="1"/>
      </left>
      <right/>
      <top/>
      <bottom/>
      <diagonal/>
    </border>
    <border>
      <left style="thin">
        <color theme="1"/>
      </left>
      <right/>
      <top/>
      <bottom/>
      <diagonal/>
    </border>
    <border>
      <left style="thin">
        <color theme="1"/>
      </left>
      <right/>
      <top/>
      <bottom style="medium">
        <color theme="1"/>
      </bottom>
      <diagonal/>
    </border>
    <border>
      <left/>
      <right/>
      <top style="thin">
        <color theme="7" tint="0.39997558519241921"/>
      </top>
      <bottom style="thin">
        <color indexed="64"/>
      </bottom>
      <diagonal/>
    </border>
    <border>
      <left/>
      <right/>
      <top style="thin">
        <color theme="7" tint="0.39997558519241921"/>
      </top>
      <bottom style="thin">
        <color theme="1"/>
      </bottom>
      <diagonal/>
    </border>
    <border>
      <left style="thin">
        <color theme="7" tint="0.39997558519241921"/>
      </left>
      <right style="thin">
        <color theme="7" tint="0.39997558519241921"/>
      </right>
      <top/>
      <bottom/>
      <diagonal/>
    </border>
    <border>
      <left/>
      <right/>
      <top style="medium">
        <color rgb="FFC00000"/>
      </top>
      <bottom style="medium">
        <color rgb="FFC00000"/>
      </bottom>
      <diagonal/>
    </border>
    <border>
      <left/>
      <right/>
      <top style="medium">
        <color rgb="FFC00000"/>
      </top>
      <bottom/>
      <diagonal/>
    </border>
    <border>
      <left style="thin">
        <color indexed="64"/>
      </left>
      <right/>
      <top style="medium">
        <color rgb="FFC00000"/>
      </top>
      <bottom/>
      <diagonal/>
    </border>
    <border>
      <left style="medium">
        <color indexed="64"/>
      </left>
      <right/>
      <top/>
      <bottom style="thin">
        <color indexed="64"/>
      </bottom>
      <diagonal/>
    </border>
    <border>
      <left/>
      <right style="medium">
        <color theme="1"/>
      </right>
      <top style="medium">
        <color rgb="FF00B050"/>
      </top>
      <bottom style="medium">
        <color rgb="FF00B050"/>
      </bottom>
      <diagonal/>
    </border>
    <border>
      <left/>
      <right/>
      <top style="medium">
        <color rgb="FF00B050"/>
      </top>
      <bottom style="medium">
        <color rgb="FF00B050"/>
      </bottom>
      <diagonal/>
    </border>
  </borders>
  <cellStyleXfs count="1">
    <xf numFmtId="0" fontId="0" fillId="0" borderId="0"/>
  </cellStyleXfs>
  <cellXfs count="129">
    <xf numFmtId="0" fontId="0" fillId="0" borderId="0" xfId="0"/>
    <xf numFmtId="0" fontId="4" fillId="2" borderId="10" xfId="0" applyFont="1" applyFill="1" applyBorder="1" applyAlignment="1" applyProtection="1">
      <alignment horizontal="center" vertical="center"/>
      <protection hidden="1"/>
    </xf>
    <xf numFmtId="0" fontId="0" fillId="2" borderId="3" xfId="0" applyFill="1" applyBorder="1" applyProtection="1">
      <protection hidden="1"/>
    </xf>
    <xf numFmtId="0" fontId="0" fillId="2" borderId="0" xfId="0" applyFill="1" applyBorder="1" applyProtection="1">
      <protection hidden="1"/>
    </xf>
    <xf numFmtId="0" fontId="1" fillId="4" borderId="6" xfId="0" applyFont="1" applyFill="1" applyBorder="1" applyProtection="1">
      <protection hidden="1"/>
    </xf>
    <xf numFmtId="0" fontId="0" fillId="4" borderId="0" xfId="0" applyFill="1" applyBorder="1" applyProtection="1">
      <protection hidden="1"/>
    </xf>
    <xf numFmtId="0" fontId="7" fillId="4" borderId="0" xfId="0" applyFont="1" applyFill="1" applyBorder="1" applyAlignment="1" applyProtection="1">
      <alignment vertical="top" wrapText="1"/>
      <protection hidden="1"/>
    </xf>
    <xf numFmtId="0" fontId="0" fillId="4" borderId="27" xfId="0" applyFill="1" applyBorder="1" applyProtection="1">
      <protection hidden="1"/>
    </xf>
    <xf numFmtId="0" fontId="0" fillId="4" borderId="0" xfId="0" applyFill="1" applyProtection="1">
      <protection hidden="1"/>
    </xf>
    <xf numFmtId="0" fontId="1" fillId="2" borderId="3" xfId="0" applyFont="1" applyFill="1" applyBorder="1" applyAlignment="1" applyProtection="1">
      <alignment horizontal="left" vertical="center" indent="1"/>
      <protection hidden="1"/>
    </xf>
    <xf numFmtId="0" fontId="0" fillId="2" borderId="0" xfId="0" applyFill="1" applyProtection="1">
      <protection hidden="1"/>
    </xf>
    <xf numFmtId="0" fontId="0" fillId="2" borderId="14" xfId="0" applyFill="1" applyBorder="1" applyProtection="1">
      <protection hidden="1"/>
    </xf>
    <xf numFmtId="0" fontId="0" fillId="4" borderId="6" xfId="0" applyFill="1" applyBorder="1" applyProtection="1">
      <protection hidden="1"/>
    </xf>
    <xf numFmtId="0" fontId="1" fillId="4" borderId="0" xfId="0" applyFont="1" applyFill="1" applyBorder="1" applyAlignment="1" applyProtection="1">
      <alignment vertical="center"/>
      <protection hidden="1"/>
    </xf>
    <xf numFmtId="0" fontId="0" fillId="2" borderId="3" xfId="0" applyFill="1" applyBorder="1" applyAlignment="1" applyProtection="1">
      <alignment horizontal="right" vertical="center" indent="1"/>
      <protection hidden="1"/>
    </xf>
    <xf numFmtId="0" fontId="1" fillId="4" borderId="6" xfId="0" applyFont="1" applyFill="1" applyBorder="1" applyAlignment="1" applyProtection="1">
      <alignment horizontal="left" vertical="center" indent="1"/>
      <protection hidden="1"/>
    </xf>
    <xf numFmtId="0" fontId="0" fillId="4" borderId="25" xfId="0" applyFill="1" applyBorder="1" applyProtection="1">
      <protection hidden="1"/>
    </xf>
    <xf numFmtId="0" fontId="6" fillId="4" borderId="16" xfId="0" applyFont="1" applyFill="1" applyBorder="1" applyAlignment="1" applyProtection="1">
      <alignment vertical="center"/>
      <protection hidden="1"/>
    </xf>
    <xf numFmtId="0" fontId="6" fillId="4" borderId="16" xfId="0" applyFont="1" applyFill="1" applyBorder="1" applyAlignment="1" applyProtection="1">
      <alignment horizontal="right" vertical="center" indent="1"/>
      <protection hidden="1"/>
    </xf>
    <xf numFmtId="0" fontId="6" fillId="4" borderId="0" xfId="0" applyFont="1" applyFill="1" applyBorder="1" applyAlignment="1" applyProtection="1">
      <alignment vertical="center"/>
      <protection hidden="1"/>
    </xf>
    <xf numFmtId="0" fontId="6" fillId="4" borderId="0" xfId="0" applyFont="1" applyFill="1" applyBorder="1" applyProtection="1">
      <protection hidden="1"/>
    </xf>
    <xf numFmtId="0" fontId="6" fillId="4" borderId="0" xfId="0" applyFont="1" applyFill="1" applyBorder="1" applyAlignment="1" applyProtection="1">
      <alignment horizontal="center" vertical="center"/>
      <protection hidden="1"/>
    </xf>
    <xf numFmtId="0" fontId="6" fillId="4" borderId="17" xfId="0" applyFont="1" applyFill="1" applyBorder="1" applyAlignment="1" applyProtection="1">
      <alignment horizontal="center" vertical="center"/>
      <protection hidden="1"/>
    </xf>
    <xf numFmtId="0" fontId="7" fillId="4" borderId="0" xfId="0" applyFont="1" applyFill="1" applyBorder="1" applyAlignment="1" applyProtection="1">
      <alignment vertical="top"/>
      <protection hidden="1"/>
    </xf>
    <xf numFmtId="0" fontId="0" fillId="4" borderId="0" xfId="0" applyFill="1" applyBorder="1" applyAlignment="1" applyProtection="1">
      <alignment horizontal="right" vertical="center"/>
      <protection hidden="1"/>
    </xf>
    <xf numFmtId="0" fontId="6" fillId="4" borderId="0" xfId="0" applyFont="1" applyFill="1" applyBorder="1" applyAlignment="1" applyProtection="1">
      <alignment horizontal="left" vertical="center"/>
      <protection hidden="1"/>
    </xf>
    <xf numFmtId="0" fontId="1" fillId="4" borderId="0" xfId="0" applyFont="1" applyFill="1" applyBorder="1" applyProtection="1">
      <protection hidden="1"/>
    </xf>
    <xf numFmtId="0" fontId="0" fillId="2" borderId="0" xfId="0" applyFill="1" applyBorder="1" applyAlignment="1" applyProtection="1">
      <protection hidden="1"/>
    </xf>
    <xf numFmtId="0" fontId="1" fillId="4" borderId="0" xfId="0" applyFont="1" applyFill="1" applyAlignment="1" applyProtection="1">
      <alignment horizontal="left" vertical="center" indent="2"/>
      <protection hidden="1"/>
    </xf>
    <xf numFmtId="0" fontId="1" fillId="4" borderId="18" xfId="0" applyFont="1" applyFill="1" applyBorder="1" applyAlignment="1" applyProtection="1">
      <alignment horizontal="left" vertical="center" indent="2"/>
      <protection hidden="1"/>
    </xf>
    <xf numFmtId="0" fontId="4" fillId="2" borderId="0" xfId="0" applyFont="1" applyFill="1" applyBorder="1" applyAlignment="1" applyProtection="1">
      <alignment horizontal="right" vertical="center" indent="2"/>
      <protection hidden="1"/>
    </xf>
    <xf numFmtId="0" fontId="5" fillId="2" borderId="0" xfId="0" applyFont="1" applyFill="1" applyBorder="1" applyAlignment="1" applyProtection="1">
      <protection hidden="1"/>
    </xf>
    <xf numFmtId="0" fontId="1" fillId="4" borderId="30" xfId="0" applyFont="1" applyFill="1" applyBorder="1" applyAlignment="1" applyProtection="1">
      <alignment horizontal="right" vertical="center"/>
      <protection hidden="1"/>
    </xf>
    <xf numFmtId="0" fontId="1" fillId="2" borderId="4" xfId="0" applyFont="1" applyFill="1" applyBorder="1" applyAlignment="1" applyProtection="1">
      <alignment horizontal="right" vertical="center"/>
      <protection hidden="1"/>
    </xf>
    <xf numFmtId="0" fontId="0" fillId="2" borderId="5" xfId="0" applyFill="1" applyBorder="1" applyAlignment="1" applyProtection="1">
      <alignment horizontal="right" vertical="center"/>
      <protection hidden="1"/>
    </xf>
    <xf numFmtId="0" fontId="0" fillId="2" borderId="5" xfId="0" applyFill="1" applyBorder="1" applyProtection="1">
      <protection hidden="1"/>
    </xf>
    <xf numFmtId="0" fontId="1" fillId="4" borderId="0" xfId="0" applyFont="1" applyFill="1" applyAlignment="1" applyProtection="1">
      <alignment horizontal="right" vertical="center"/>
      <protection hidden="1"/>
    </xf>
    <xf numFmtId="0" fontId="1" fillId="4" borderId="0" xfId="0" applyFont="1" applyFill="1" applyBorder="1" applyAlignment="1" applyProtection="1">
      <alignment horizontal="right" vertical="center"/>
      <protection hidden="1"/>
    </xf>
    <xf numFmtId="0" fontId="0" fillId="4" borderId="0" xfId="0" applyFill="1" applyBorder="1" applyAlignment="1" applyProtection="1">
      <protection hidden="1"/>
    </xf>
    <xf numFmtId="0" fontId="1" fillId="4" borderId="0" xfId="0" applyFont="1" applyFill="1" applyBorder="1" applyAlignment="1" applyProtection="1">
      <alignment horizontal="left" indent="2"/>
      <protection hidden="1"/>
    </xf>
    <xf numFmtId="0" fontId="1" fillId="2" borderId="0" xfId="0" applyFont="1" applyFill="1" applyBorder="1" applyAlignment="1" applyProtection="1">
      <alignment horizontal="center" vertical="center"/>
      <protection hidden="1"/>
    </xf>
    <xf numFmtId="0" fontId="1" fillId="4" borderId="6" xfId="0" applyFont="1" applyFill="1" applyBorder="1" applyAlignment="1" applyProtection="1">
      <alignment horizontal="center" vertical="center"/>
      <protection hidden="1"/>
    </xf>
    <xf numFmtId="0" fontId="1" fillId="4" borderId="0" xfId="0" applyFont="1" applyFill="1" applyBorder="1" applyAlignment="1" applyProtection="1">
      <alignment horizontal="left" vertical="center" indent="2"/>
      <protection hidden="1"/>
    </xf>
    <xf numFmtId="0" fontId="0" fillId="2" borderId="8" xfId="0" applyFill="1" applyBorder="1" applyProtection="1">
      <protection hidden="1"/>
    </xf>
    <xf numFmtId="0" fontId="1" fillId="2" borderId="5" xfId="0" applyFont="1" applyFill="1" applyBorder="1" applyAlignment="1" applyProtection="1">
      <alignment horizontal="center" vertical="center"/>
      <protection hidden="1"/>
    </xf>
    <xf numFmtId="0" fontId="0" fillId="4" borderId="0" xfId="0" applyFill="1" applyBorder="1" applyAlignment="1" applyProtection="1">
      <alignment horizontal="left" indent="2"/>
      <protection hidden="1"/>
    </xf>
    <xf numFmtId="0" fontId="0" fillId="0" borderId="7" xfId="0" applyFont="1" applyBorder="1" applyAlignment="1" applyProtection="1">
      <alignment horizontal="left" vertical="center" indent="1"/>
      <protection hidden="1"/>
    </xf>
    <xf numFmtId="0" fontId="6" fillId="2" borderId="0" xfId="0" applyFont="1" applyFill="1" applyBorder="1" applyAlignment="1" applyProtection="1">
      <alignment horizontal="left"/>
      <protection hidden="1"/>
    </xf>
    <xf numFmtId="0" fontId="0" fillId="2" borderId="3" xfId="0" applyFill="1" applyBorder="1" applyAlignment="1" applyProtection="1">
      <alignment horizontal="right" indent="1"/>
      <protection hidden="1"/>
    </xf>
    <xf numFmtId="0" fontId="6" fillId="2" borderId="0" xfId="0" applyFont="1" applyFill="1" applyBorder="1" applyProtection="1">
      <protection hidden="1"/>
    </xf>
    <xf numFmtId="0" fontId="3" fillId="2" borderId="7" xfId="0" applyFont="1" applyFill="1" applyBorder="1" applyAlignment="1" applyProtection="1">
      <alignment horizontal="left" vertical="center" indent="1"/>
      <protection hidden="1"/>
    </xf>
    <xf numFmtId="0" fontId="0" fillId="3" borderId="0" xfId="0" applyFill="1" applyProtection="1">
      <protection hidden="1"/>
    </xf>
    <xf numFmtId="0" fontId="9" fillId="2" borderId="0" xfId="0" applyFont="1" applyFill="1" applyBorder="1" applyAlignment="1" applyProtection="1">
      <protection hidden="1"/>
    </xf>
    <xf numFmtId="0" fontId="7" fillId="2" borderId="0" xfId="0" applyFont="1" applyFill="1" applyBorder="1" applyAlignment="1" applyProtection="1">
      <alignment vertical="center"/>
      <protection hidden="1"/>
    </xf>
    <xf numFmtId="0" fontId="1" fillId="2" borderId="35" xfId="0" applyFont="1" applyFill="1" applyBorder="1" applyAlignment="1" applyProtection="1">
      <alignment horizontal="left" vertical="center" indent="1"/>
      <protection hidden="1"/>
    </xf>
    <xf numFmtId="0" fontId="14" fillId="2" borderId="0" xfId="0" applyFont="1" applyFill="1"/>
    <xf numFmtId="0" fontId="14" fillId="2" borderId="0" xfId="0" applyFont="1" applyFill="1" applyBorder="1"/>
    <xf numFmtId="164" fontId="1" fillId="2" borderId="9" xfId="0" applyNumberFormat="1" applyFont="1" applyFill="1" applyBorder="1" applyAlignment="1" applyProtection="1">
      <alignment vertical="center"/>
      <protection hidden="1"/>
    </xf>
    <xf numFmtId="0" fontId="1" fillId="2" borderId="0" xfId="0" applyFont="1" applyFill="1" applyBorder="1" applyAlignment="1" applyProtection="1">
      <alignment horizontal="left" vertical="center" indent="1"/>
      <protection hidden="1"/>
    </xf>
    <xf numFmtId="164" fontId="1" fillId="2" borderId="0" xfId="0" applyNumberFormat="1" applyFont="1" applyFill="1" applyBorder="1" applyAlignment="1" applyProtection="1">
      <alignment vertical="center"/>
      <protection hidden="1"/>
    </xf>
    <xf numFmtId="0" fontId="15" fillId="2" borderId="0" xfId="0" applyFont="1" applyFill="1"/>
    <xf numFmtId="0" fontId="15" fillId="2" borderId="26" xfId="0" applyFont="1" applyFill="1" applyBorder="1"/>
    <xf numFmtId="0" fontId="15" fillId="2" borderId="0" xfId="0" applyFont="1" applyFill="1" applyBorder="1"/>
    <xf numFmtId="0" fontId="15" fillId="2" borderId="0" xfId="0" applyFont="1" applyFill="1" applyBorder="1" applyAlignment="1">
      <alignment vertical="top" wrapText="1"/>
    </xf>
    <xf numFmtId="0" fontId="16" fillId="2" borderId="0" xfId="0" applyFont="1" applyFill="1"/>
    <xf numFmtId="0" fontId="15" fillId="2" borderId="0" xfId="0" applyFont="1" applyFill="1" applyAlignment="1">
      <alignment wrapText="1"/>
    </xf>
    <xf numFmtId="0" fontId="15" fillId="2" borderId="0" xfId="0" applyFont="1" applyFill="1" applyProtection="1">
      <protection locked="0" hidden="1"/>
    </xf>
    <xf numFmtId="0" fontId="16" fillId="2" borderId="0" xfId="0" applyFont="1" applyFill="1" applyAlignment="1">
      <alignment wrapText="1"/>
    </xf>
    <xf numFmtId="0" fontId="16" fillId="2" borderId="13" xfId="0" applyFont="1" applyFill="1" applyBorder="1"/>
    <xf numFmtId="0" fontId="16" fillId="2" borderId="31" xfId="0" applyFont="1" applyFill="1" applyBorder="1"/>
    <xf numFmtId="0" fontId="16" fillId="2" borderId="15" xfId="0" applyFont="1" applyFill="1" applyBorder="1"/>
    <xf numFmtId="0" fontId="15" fillId="2" borderId="0" xfId="0" applyFont="1" applyFill="1" applyProtection="1">
      <protection locked="0"/>
    </xf>
    <xf numFmtId="164" fontId="15" fillId="2" borderId="0" xfId="0" applyNumberFormat="1" applyFont="1" applyFill="1"/>
    <xf numFmtId="0" fontId="15" fillId="2" borderId="0" xfId="0" applyFont="1" applyFill="1" applyBorder="1" applyProtection="1">
      <protection locked="0" hidden="1"/>
    </xf>
    <xf numFmtId="0" fontId="15" fillId="2" borderId="0" xfId="0" applyFont="1" applyFill="1" applyBorder="1" applyProtection="1">
      <protection hidden="1"/>
    </xf>
    <xf numFmtId="0" fontId="15" fillId="2" borderId="0" xfId="0" applyFont="1" applyFill="1" applyBorder="1" applyAlignment="1" applyProtection="1">
      <alignment wrapText="1"/>
      <protection hidden="1"/>
    </xf>
    <xf numFmtId="0" fontId="11" fillId="5" borderId="37" xfId="0" applyFont="1" applyFill="1" applyBorder="1" applyAlignment="1" applyProtection="1">
      <alignment horizontal="center"/>
      <protection hidden="1"/>
    </xf>
    <xf numFmtId="0" fontId="11" fillId="5" borderId="36" xfId="0" applyFont="1" applyFill="1" applyBorder="1" applyAlignment="1" applyProtection="1">
      <alignment horizontal="center"/>
      <protection hidden="1"/>
    </xf>
    <xf numFmtId="0" fontId="1" fillId="2" borderId="35" xfId="0" applyFont="1" applyFill="1" applyBorder="1" applyAlignment="1" applyProtection="1">
      <alignment horizontal="left" vertical="center" indent="1"/>
      <protection hidden="1"/>
    </xf>
    <xf numFmtId="0" fontId="1" fillId="2" borderId="9" xfId="0" applyFont="1" applyFill="1" applyBorder="1" applyAlignment="1" applyProtection="1">
      <alignment horizontal="left" vertical="center" indent="1"/>
      <protection hidden="1"/>
    </xf>
    <xf numFmtId="0" fontId="1" fillId="4" borderId="0" xfId="0" applyFont="1" applyFill="1" applyBorder="1" applyAlignment="1" applyProtection="1">
      <alignment horizontal="left" vertical="center" indent="1"/>
      <protection hidden="1"/>
    </xf>
    <xf numFmtId="0" fontId="0" fillId="4" borderId="18" xfId="0" applyFill="1" applyBorder="1" applyAlignment="1" applyProtection="1">
      <alignment horizontal="left" vertical="center" indent="1"/>
      <protection hidden="1"/>
    </xf>
    <xf numFmtId="164" fontId="4" fillId="2" borderId="11" xfId="0" applyNumberFormat="1" applyFont="1" applyFill="1" applyBorder="1" applyAlignment="1" applyProtection="1">
      <alignment horizontal="right" vertical="center" indent="1"/>
      <protection hidden="1"/>
    </xf>
    <xf numFmtId="164" fontId="4" fillId="2" borderId="12" xfId="0" applyNumberFormat="1" applyFont="1" applyFill="1" applyBorder="1" applyAlignment="1" applyProtection="1">
      <alignment horizontal="right" vertical="center" indent="1"/>
      <protection hidden="1"/>
    </xf>
    <xf numFmtId="0" fontId="1" fillId="4" borderId="30" xfId="0" applyFont="1" applyFill="1" applyBorder="1" applyAlignment="1" applyProtection="1">
      <alignment horizontal="right" vertical="center"/>
      <protection hidden="1"/>
    </xf>
    <xf numFmtId="164" fontId="1" fillId="2" borderId="9" xfId="0" applyNumberFormat="1" applyFont="1" applyFill="1" applyBorder="1" applyAlignment="1" applyProtection="1">
      <alignment horizontal="right" vertical="center"/>
      <protection hidden="1"/>
    </xf>
    <xf numFmtId="0" fontId="2" fillId="5" borderId="19" xfId="0" applyFont="1" applyFill="1" applyBorder="1" applyAlignment="1" applyProtection="1">
      <alignment horizontal="center" vertical="center" wrapText="1"/>
      <protection hidden="1"/>
    </xf>
    <xf numFmtId="0" fontId="2" fillId="5" borderId="20" xfId="0" applyFont="1" applyFill="1" applyBorder="1" applyAlignment="1" applyProtection="1">
      <alignment horizontal="center" vertical="center" wrapText="1"/>
      <protection hidden="1"/>
    </xf>
    <xf numFmtId="0" fontId="11" fillId="5" borderId="20" xfId="0" applyFont="1" applyFill="1" applyBorder="1" applyAlignment="1" applyProtection="1">
      <alignment horizontal="right"/>
      <protection hidden="1"/>
    </xf>
    <xf numFmtId="0" fontId="11" fillId="5" borderId="21" xfId="0" applyFont="1" applyFill="1" applyBorder="1" applyAlignment="1" applyProtection="1">
      <alignment horizontal="right"/>
      <protection hidden="1"/>
    </xf>
    <xf numFmtId="0" fontId="1" fillId="4" borderId="30" xfId="0" applyFont="1" applyFill="1" applyBorder="1" applyAlignment="1" applyProtection="1">
      <alignment horizontal="left" vertical="center"/>
      <protection hidden="1"/>
    </xf>
    <xf numFmtId="0" fontId="6" fillId="4" borderId="17" xfId="0" applyFont="1" applyFill="1" applyBorder="1" applyAlignment="1" applyProtection="1">
      <alignment horizontal="right" vertical="center" indent="1"/>
      <protection hidden="1"/>
    </xf>
    <xf numFmtId="0" fontId="6" fillId="4" borderId="16" xfId="0" applyFont="1" applyFill="1" applyBorder="1" applyAlignment="1" applyProtection="1">
      <alignment horizontal="right" vertical="center" indent="1"/>
      <protection hidden="1"/>
    </xf>
    <xf numFmtId="0" fontId="1" fillId="4" borderId="29" xfId="0" applyFont="1" applyFill="1" applyBorder="1" applyAlignment="1" applyProtection="1">
      <alignment horizontal="left" vertical="center"/>
      <protection hidden="1"/>
    </xf>
    <xf numFmtId="0" fontId="1" fillId="4" borderId="17" xfId="0" applyFont="1" applyFill="1" applyBorder="1" applyAlignment="1" applyProtection="1">
      <alignment horizontal="left" vertical="center"/>
      <protection hidden="1"/>
    </xf>
    <xf numFmtId="0" fontId="6" fillId="4" borderId="0" xfId="0" applyFont="1" applyFill="1" applyBorder="1" applyAlignment="1" applyProtection="1">
      <alignment horizontal="right" vertical="center" indent="1"/>
      <protection hidden="1"/>
    </xf>
    <xf numFmtId="0" fontId="4" fillId="2" borderId="1" xfId="0" applyFont="1" applyFill="1" applyBorder="1" applyAlignment="1" applyProtection="1">
      <alignment horizontal="left" indent="1"/>
      <protection locked="0" hidden="1"/>
    </xf>
    <xf numFmtId="0" fontId="10" fillId="0" borderId="2" xfId="0" applyFont="1" applyBorder="1" applyAlignment="1" applyProtection="1">
      <alignment horizontal="left" indent="1"/>
      <protection locked="0" hidden="1"/>
    </xf>
    <xf numFmtId="0" fontId="4" fillId="6" borderId="6" xfId="0" applyFont="1" applyFill="1" applyBorder="1" applyAlignment="1" applyProtection="1">
      <alignment horizontal="left" vertical="center" indent="1"/>
      <protection hidden="1"/>
    </xf>
    <xf numFmtId="0" fontId="4" fillId="6" borderId="0" xfId="0" applyFont="1" applyFill="1" applyBorder="1" applyAlignment="1" applyProtection="1">
      <alignment horizontal="left" vertical="center" indent="1"/>
      <protection hidden="1"/>
    </xf>
    <xf numFmtId="164" fontId="4" fillId="2" borderId="1" xfId="0" applyNumberFormat="1" applyFont="1" applyFill="1" applyBorder="1" applyAlignment="1" applyProtection="1">
      <alignment horizontal="right" vertical="center" indent="2"/>
      <protection locked="0" hidden="1"/>
    </xf>
    <xf numFmtId="164" fontId="4" fillId="2" borderId="2" xfId="0" applyNumberFormat="1" applyFont="1" applyFill="1" applyBorder="1" applyAlignment="1" applyProtection="1">
      <alignment horizontal="right" vertical="center" indent="2"/>
      <protection locked="0" hidden="1"/>
    </xf>
    <xf numFmtId="0" fontId="4" fillId="2" borderId="1" xfId="0" applyFont="1" applyFill="1" applyBorder="1" applyAlignment="1" applyProtection="1">
      <alignment horizontal="right" vertical="center" indent="2"/>
      <protection locked="0" hidden="1"/>
    </xf>
    <xf numFmtId="0" fontId="10" fillId="0" borderId="2" xfId="0" applyFont="1" applyBorder="1" applyAlignment="1" applyProtection="1">
      <alignment horizontal="right" vertical="center"/>
      <protection locked="0" hidden="1"/>
    </xf>
    <xf numFmtId="0" fontId="11" fillId="5" borderId="32" xfId="0" applyFont="1" applyFill="1" applyBorder="1" applyAlignment="1" applyProtection="1">
      <alignment horizontal="center"/>
      <protection hidden="1"/>
    </xf>
    <xf numFmtId="0" fontId="15" fillId="2" borderId="0" xfId="0" applyFont="1" applyFill="1" applyAlignment="1">
      <alignment horizontal="center"/>
    </xf>
    <xf numFmtId="0" fontId="1" fillId="2" borderId="3" xfId="0" applyFont="1" applyFill="1" applyBorder="1" applyAlignment="1" applyProtection="1">
      <alignment horizontal="left" vertical="center" indent="1"/>
      <protection hidden="1"/>
    </xf>
    <xf numFmtId="0" fontId="0" fillId="2" borderId="7" xfId="0" applyFont="1" applyFill="1" applyBorder="1" applyAlignment="1" applyProtection="1">
      <alignment horizontal="left" vertical="center" indent="1"/>
      <protection hidden="1"/>
    </xf>
    <xf numFmtId="0" fontId="1" fillId="2" borderId="3" xfId="0" applyFont="1" applyFill="1" applyBorder="1" applyAlignment="1" applyProtection="1">
      <alignment horizontal="left" vertical="center" indent="2"/>
      <protection hidden="1"/>
    </xf>
    <xf numFmtId="0" fontId="0" fillId="0" borderId="0" xfId="0" applyFont="1" applyAlignment="1" applyProtection="1">
      <alignment horizontal="left" vertical="center" indent="2"/>
      <protection hidden="1"/>
    </xf>
    <xf numFmtId="0" fontId="0" fillId="0" borderId="0" xfId="0" applyFont="1" applyBorder="1" applyAlignment="1" applyProtection="1">
      <alignment horizontal="left" vertical="center" indent="1"/>
      <protection hidden="1"/>
    </xf>
    <xf numFmtId="0" fontId="0" fillId="0" borderId="0" xfId="0" applyAlignment="1" applyProtection="1">
      <alignment horizontal="left" vertical="center" indent="1"/>
      <protection hidden="1"/>
    </xf>
    <xf numFmtId="0" fontId="1" fillId="2" borderId="0" xfId="0" applyFont="1" applyFill="1" applyBorder="1" applyAlignment="1" applyProtection="1">
      <alignment horizontal="left" vertical="center" indent="2"/>
      <protection hidden="1"/>
    </xf>
    <xf numFmtId="0" fontId="0" fillId="0" borderId="0" xfId="0" applyFont="1" applyBorder="1" applyAlignment="1" applyProtection="1">
      <alignment horizontal="left" vertical="center" indent="2"/>
      <protection hidden="1"/>
    </xf>
    <xf numFmtId="0" fontId="8" fillId="2" borderId="26" xfId="0" applyFont="1" applyFill="1" applyBorder="1" applyAlignment="1">
      <alignment horizontal="right" vertical="center" indent="1"/>
    </xf>
    <xf numFmtId="0" fontId="8" fillId="2" borderId="0" xfId="0" applyFont="1" applyFill="1" applyBorder="1" applyAlignment="1">
      <alignment horizontal="right" vertical="center" indent="1"/>
    </xf>
    <xf numFmtId="0" fontId="0" fillId="0" borderId="7" xfId="0" applyFont="1" applyBorder="1" applyAlignment="1" applyProtection="1">
      <alignment horizontal="left" vertical="center" indent="1"/>
      <protection hidden="1"/>
    </xf>
    <xf numFmtId="0" fontId="8" fillId="5" borderId="19" xfId="0" applyFont="1" applyFill="1" applyBorder="1" applyAlignment="1" applyProtection="1">
      <alignment horizontal="right" vertical="center" indent="2"/>
      <protection hidden="1"/>
    </xf>
    <xf numFmtId="0" fontId="8" fillId="5" borderId="20" xfId="0" applyFont="1" applyFill="1" applyBorder="1" applyAlignment="1" applyProtection="1">
      <alignment horizontal="right" vertical="center" indent="2"/>
      <protection hidden="1"/>
    </xf>
    <xf numFmtId="0" fontId="8" fillId="5" borderId="21" xfId="0" applyFont="1" applyFill="1" applyBorder="1" applyAlignment="1" applyProtection="1">
      <alignment horizontal="right" vertical="center" indent="2"/>
      <protection hidden="1"/>
    </xf>
    <xf numFmtId="0" fontId="6" fillId="6" borderId="27" xfId="0" applyFont="1" applyFill="1" applyBorder="1" applyAlignment="1" applyProtection="1">
      <alignment horizontal="justify" vertical="top" wrapText="1"/>
      <protection hidden="1"/>
    </xf>
    <xf numFmtId="0" fontId="6" fillId="6" borderId="0" xfId="0" applyFont="1" applyFill="1" applyBorder="1" applyAlignment="1" applyProtection="1">
      <alignment horizontal="justify" vertical="top"/>
      <protection hidden="1"/>
    </xf>
    <xf numFmtId="0" fontId="6" fillId="6" borderId="23" xfId="0" applyFont="1" applyFill="1" applyBorder="1" applyAlignment="1" applyProtection="1">
      <alignment horizontal="justify" vertical="top"/>
      <protection hidden="1"/>
    </xf>
    <xf numFmtId="0" fontId="6" fillId="6" borderId="27" xfId="0" applyFont="1" applyFill="1" applyBorder="1" applyAlignment="1" applyProtection="1">
      <alignment horizontal="justify" vertical="top"/>
      <protection hidden="1"/>
    </xf>
    <xf numFmtId="0" fontId="6" fillId="6" borderId="28" xfId="0" applyFont="1" applyFill="1" applyBorder="1" applyAlignment="1" applyProtection="1">
      <alignment horizontal="justify" vertical="top"/>
      <protection hidden="1"/>
    </xf>
    <xf numFmtId="0" fontId="6" fillId="6" borderId="24" xfId="0" applyFont="1" applyFill="1" applyBorder="1" applyAlignment="1" applyProtection="1">
      <alignment horizontal="justify" vertical="top"/>
      <protection hidden="1"/>
    </xf>
    <xf numFmtId="0" fontId="6" fillId="6" borderId="22" xfId="0" applyFont="1" applyFill="1" applyBorder="1" applyAlignment="1" applyProtection="1">
      <alignment horizontal="justify" vertical="top"/>
      <protection hidden="1"/>
    </xf>
    <xf numFmtId="0" fontId="4" fillId="6" borderId="34" xfId="0" applyFont="1" applyFill="1" applyBorder="1" applyAlignment="1" applyProtection="1">
      <alignment horizontal="left" vertical="center" indent="1"/>
      <protection hidden="1"/>
    </xf>
    <xf numFmtId="0" fontId="4" fillId="6" borderId="33" xfId="0" applyFont="1" applyFill="1" applyBorder="1" applyAlignment="1" applyProtection="1">
      <alignment horizontal="left" vertical="center" indent="1"/>
      <protection hidden="1"/>
    </xf>
  </cellXfs>
  <cellStyles count="1">
    <cellStyle name="Normal" xfId="0" builtinId="0"/>
  </cellStyles>
  <dxfs count="0"/>
  <tableStyles count="0" defaultTableStyle="TableStyleMedium9" defaultPivotStyle="PivotStyleLight16"/>
  <colors>
    <mruColors>
      <color rgb="FFFFFFE6"/>
      <color rgb="FFFFFFEE"/>
      <color rgb="FFFFFFE1"/>
      <color rgb="FFF6F5F9"/>
      <color rgb="FFF8F6FC"/>
      <color rgb="FFB8A9D3"/>
      <color rgb="FFF0EFF5"/>
      <color rgb="FFF0EFF7"/>
      <color rgb="FFFFF4DD"/>
      <color rgb="FFE9EAE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CheckBox" checked="Checked" fmlaLink="$AS$258" lockText="1" noThreeD="1"/>
</file>

<file path=xl/ctrlProps/ctrlProp2.xml><?xml version="1.0" encoding="utf-8"?>
<formControlPr xmlns="http://schemas.microsoft.com/office/spreadsheetml/2009/9/main" objectType="CheckBox" fmlaLink="$AT$258" lockText="1" noThreeD="1"/>
</file>

<file path=xl/ctrlProps/ctrlProp3.xml><?xml version="1.0" encoding="utf-8"?>
<formControlPr xmlns="http://schemas.microsoft.com/office/spreadsheetml/2009/9/main" objectType="CheckBox" checked="Checked" fmlaLink="$AV$282" lockText="1" noThreeD="1"/>
</file>

<file path=xl/ctrlProps/ctrlProp4.xml><?xml version="1.0" encoding="utf-8"?>
<formControlPr xmlns="http://schemas.microsoft.com/office/spreadsheetml/2009/9/main" objectType="CheckBox" checked="Checked" fmlaLink="$AX$282"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11</xdr:row>
          <xdr:rowOff>180975</xdr:rowOff>
        </xdr:from>
        <xdr:to>
          <xdr:col>1</xdr:col>
          <xdr:colOff>381000</xdr:colOff>
          <xdr:row>13</xdr:row>
          <xdr:rowOff>0</xdr:rowOff>
        </xdr:to>
        <xdr:sp macro="" textlink="">
          <xdr:nvSpPr>
            <xdr:cNvPr id="1048" name="Check Box 24" hidden="1">
              <a:extLst>
                <a:ext uri="{63B3BB69-23CF-44E3-9099-C40C66FF867C}">
                  <a14:compatExt spid="_x0000_s104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238125</xdr:colOff>
          <xdr:row>11</xdr:row>
          <xdr:rowOff>180975</xdr:rowOff>
        </xdr:from>
        <xdr:to>
          <xdr:col>3</xdr:col>
          <xdr:colOff>447675</xdr:colOff>
          <xdr:row>13</xdr:row>
          <xdr:rowOff>0</xdr:rowOff>
        </xdr:to>
        <xdr:sp macro="" textlink="">
          <xdr:nvSpPr>
            <xdr:cNvPr id="1079" name="Check Box 55" hidden="1">
              <a:extLst>
                <a:ext uri="{63B3BB69-23CF-44E3-9099-C40C66FF867C}">
                  <a14:compatExt spid="_x0000_s10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9</xdr:row>
          <xdr:rowOff>180975</xdr:rowOff>
        </xdr:from>
        <xdr:to>
          <xdr:col>9</xdr:col>
          <xdr:colOff>323850</xdr:colOff>
          <xdr:row>11</xdr:row>
          <xdr:rowOff>0</xdr:rowOff>
        </xdr:to>
        <xdr:sp macro="" textlink="">
          <xdr:nvSpPr>
            <xdr:cNvPr id="1132" name="Check Box 108" hidden="1">
              <a:extLst>
                <a:ext uri="{63B3BB69-23CF-44E3-9099-C40C66FF867C}">
                  <a14:compatExt spid="_x0000_s113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9</xdr:row>
          <xdr:rowOff>180975</xdr:rowOff>
        </xdr:from>
        <xdr:to>
          <xdr:col>10</xdr:col>
          <xdr:colOff>581025</xdr:colOff>
          <xdr:row>11</xdr:row>
          <xdr:rowOff>0</xdr:rowOff>
        </xdr:to>
        <xdr:sp macro="" textlink="">
          <xdr:nvSpPr>
            <xdr:cNvPr id="1133" name="Check Box 109" hidden="1">
              <a:extLst>
                <a:ext uri="{63B3BB69-23CF-44E3-9099-C40C66FF867C}">
                  <a14:compatExt spid="_x0000_s1133"/>
                </a:ext>
              </a:extLst>
            </xdr:cNvPr>
            <xdr:cNvSpPr/>
          </xdr:nvSpPr>
          <xdr:spPr>
            <a:xfrm>
              <a:off x="0" y="0"/>
              <a:ext cx="0" cy="0"/>
            </a:xfrm>
            <a:prstGeom prst="rect">
              <a:avLst/>
            </a:prstGeom>
          </xdr:spPr>
        </xdr:sp>
        <xdr:clientData fLocksWithSheet="0"/>
      </xdr:twoCellAnchor>
    </mc:Choice>
    <mc:Fallback/>
  </mc:AlternateContent>
  <xdr:twoCellAnchor editAs="oneCell">
    <xdr:from>
      <xdr:col>0</xdr:col>
      <xdr:colOff>39078</xdr:colOff>
      <xdr:row>0</xdr:row>
      <xdr:rowOff>39493</xdr:rowOff>
    </xdr:from>
    <xdr:to>
      <xdr:col>2</xdr:col>
      <xdr:colOff>748162</xdr:colOff>
      <xdr:row>0</xdr:row>
      <xdr:rowOff>520210</xdr:rowOff>
    </xdr:to>
    <xdr:pic>
      <xdr:nvPicPr>
        <xdr:cNvPr id="7" name="Picture 6"/>
        <xdr:cNvPicPr>
          <a:picLocks noChangeAspect="1"/>
        </xdr:cNvPicPr>
      </xdr:nvPicPr>
      <xdr:blipFill>
        <a:blip xmlns:r="http://schemas.openxmlformats.org/officeDocument/2006/relationships" r:embed="rId1"/>
        <a:stretch>
          <a:fillRect/>
        </a:stretch>
      </xdr:blipFill>
      <xdr:spPr>
        <a:xfrm>
          <a:off x="39078" y="39493"/>
          <a:ext cx="2262392" cy="48071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outlinePr showOutlineSymbols="0"/>
  </sheetPr>
  <dimension ref="A1:BG854"/>
  <sheetViews>
    <sheetView showRowColHeaders="0" tabSelected="1" zoomScale="90" zoomScaleNormal="90" workbookViewId="0">
      <selection activeCell="R1" sqref="R1:T1"/>
    </sheetView>
  </sheetViews>
  <sheetFormatPr defaultColWidth="0" defaultRowHeight="15" zeroHeight="1" x14ac:dyDescent="0.25"/>
  <cols>
    <col min="1" max="1" width="14.140625" style="55" customWidth="1"/>
    <col min="2" max="2" width="9.140625" style="55" customWidth="1"/>
    <col min="3" max="3" width="11.42578125" style="55" customWidth="1"/>
    <col min="4" max="4" width="11" style="55" customWidth="1"/>
    <col min="5" max="5" width="3.7109375" style="55" customWidth="1"/>
    <col min="6" max="6" width="2.85546875" style="55" customWidth="1"/>
    <col min="7" max="8" width="9.140625" style="55" customWidth="1"/>
    <col min="9" max="10" width="9" style="55" customWidth="1"/>
    <col min="11" max="12" width="9.140625" style="55" customWidth="1"/>
    <col min="13" max="13" width="3.140625" style="55" customWidth="1"/>
    <col min="14" max="14" width="2" style="55" customWidth="1"/>
    <col min="15" max="15" width="9.140625" style="55" customWidth="1"/>
    <col min="16" max="16" width="9.85546875" style="55" customWidth="1"/>
    <col min="17" max="17" width="9.140625" style="55" customWidth="1"/>
    <col min="18" max="18" width="11" style="55" customWidth="1"/>
    <col min="19" max="19" width="9" style="55" customWidth="1"/>
    <col min="20" max="20" width="2.7109375" style="55" customWidth="1"/>
    <col min="21" max="27" width="9.140625" style="60" hidden="1"/>
    <col min="28" max="28" width="18.28515625" style="60" hidden="1"/>
    <col min="29" max="29" width="9.140625" style="60" hidden="1"/>
    <col min="30" max="30" width="41.28515625" style="60" hidden="1"/>
    <col min="31" max="31" width="45.5703125" style="60" hidden="1"/>
    <col min="32" max="33" width="9.140625" style="60" hidden="1"/>
    <col min="34" max="34" width="12.140625" style="60" hidden="1"/>
    <col min="35" max="35" width="11.42578125" style="60" hidden="1"/>
    <col min="36" max="36" width="16.85546875" style="60" hidden="1"/>
    <col min="37" max="41" width="9.140625" style="60" hidden="1"/>
    <col min="42" max="42" width="16" style="60" hidden="1"/>
    <col min="43" max="43" width="11.85546875" style="60" hidden="1"/>
    <col min="44" max="44" width="12.140625" style="60" hidden="1"/>
    <col min="45" max="45" width="13" style="60" hidden="1"/>
    <col min="46" max="46" width="11.85546875" style="60" hidden="1"/>
    <col min="47" max="47" width="10.85546875" style="60" hidden="1"/>
    <col min="48" max="48" width="13.140625" style="60" hidden="1"/>
    <col min="49" max="49" width="14.42578125" style="60" hidden="1"/>
    <col min="50" max="50" width="11.140625" style="60" hidden="1"/>
    <col min="51" max="54" width="9.140625" style="60" hidden="1"/>
    <col min="55" max="55" width="12.28515625" style="60" hidden="1"/>
    <col min="56" max="56" width="12.42578125" style="60" hidden="1"/>
    <col min="57" max="59" width="0" style="60" hidden="1"/>
    <col min="60" max="16384" width="9.140625" style="60" hidden="1"/>
  </cols>
  <sheetData>
    <row r="1" spans="1:21" ht="43.5" customHeight="1" thickBot="1" x14ac:dyDescent="0.35">
      <c r="A1" s="86" t="s">
        <v>141</v>
      </c>
      <c r="B1" s="87"/>
      <c r="C1" s="87"/>
      <c r="D1" s="87"/>
      <c r="E1" s="87"/>
      <c r="F1" s="87"/>
      <c r="G1" s="87"/>
      <c r="H1" s="87"/>
      <c r="I1" s="87"/>
      <c r="J1" s="87"/>
      <c r="K1" s="87"/>
      <c r="L1" s="87"/>
      <c r="M1" s="87"/>
      <c r="N1" s="87"/>
      <c r="O1" s="87"/>
      <c r="P1" s="87"/>
      <c r="Q1" s="87"/>
      <c r="R1" s="88" t="s">
        <v>175</v>
      </c>
      <c r="S1" s="88"/>
      <c r="T1" s="89"/>
    </row>
    <row r="2" spans="1:21" x14ac:dyDescent="0.25">
      <c r="A2" s="2"/>
      <c r="B2" s="3"/>
      <c r="C2" s="3"/>
      <c r="D2" s="3"/>
      <c r="E2" s="3"/>
      <c r="F2" s="4"/>
      <c r="G2" s="5"/>
      <c r="H2" s="5"/>
      <c r="I2" s="5"/>
      <c r="J2" s="5"/>
      <c r="K2" s="5"/>
      <c r="L2" s="5"/>
      <c r="M2" s="6"/>
      <c r="N2" s="7"/>
      <c r="O2" s="8"/>
      <c r="P2" s="8"/>
      <c r="Q2" s="8"/>
      <c r="R2" s="8"/>
      <c r="S2" s="8"/>
      <c r="T2" s="8"/>
      <c r="U2" s="61"/>
    </row>
    <row r="3" spans="1:21" x14ac:dyDescent="0.25">
      <c r="A3" s="9" t="s">
        <v>102</v>
      </c>
      <c r="B3" s="10"/>
      <c r="C3" s="96" t="s">
        <v>19</v>
      </c>
      <c r="D3" s="97"/>
      <c r="E3" s="11"/>
      <c r="F3" s="12"/>
      <c r="G3" s="93" t="s">
        <v>112</v>
      </c>
      <c r="H3" s="93"/>
      <c r="I3" s="93"/>
      <c r="J3" s="94"/>
      <c r="K3" s="94"/>
      <c r="L3" s="94"/>
      <c r="M3" s="13"/>
      <c r="N3" s="7"/>
      <c r="O3" s="90" t="s">
        <v>115</v>
      </c>
      <c r="P3" s="90"/>
      <c r="Q3" s="90"/>
      <c r="R3" s="90"/>
      <c r="S3" s="90"/>
      <c r="T3" s="13"/>
      <c r="U3" s="61"/>
    </row>
    <row r="4" spans="1:21" x14ac:dyDescent="0.25">
      <c r="A4" s="14"/>
      <c r="B4" s="3"/>
      <c r="C4" s="3"/>
      <c r="D4" s="3"/>
      <c r="E4" s="3"/>
      <c r="F4" s="15"/>
      <c r="G4" s="5"/>
      <c r="H4" s="5"/>
      <c r="I4" s="5"/>
      <c r="J4" s="16"/>
      <c r="K4" s="16"/>
      <c r="L4" s="16"/>
      <c r="M4" s="5"/>
      <c r="N4" s="7"/>
      <c r="O4" s="8"/>
      <c r="P4" s="8"/>
      <c r="Q4" s="8"/>
      <c r="R4" s="8"/>
      <c r="S4" s="8"/>
      <c r="T4" s="8"/>
      <c r="U4" s="61"/>
    </row>
    <row r="5" spans="1:21" x14ac:dyDescent="0.25">
      <c r="A5" s="9" t="s">
        <v>103</v>
      </c>
      <c r="B5" s="10"/>
      <c r="C5" s="96" t="s">
        <v>42</v>
      </c>
      <c r="D5" s="97"/>
      <c r="E5" s="3"/>
      <c r="F5" s="15"/>
      <c r="G5" s="95" t="s">
        <v>156</v>
      </c>
      <c r="H5" s="95"/>
      <c r="I5" s="18" t="s">
        <v>155</v>
      </c>
      <c r="J5" s="17"/>
      <c r="K5" s="92" t="s">
        <v>156</v>
      </c>
      <c r="L5" s="92"/>
      <c r="M5" s="19"/>
      <c r="N5" s="7"/>
      <c r="O5" s="80" t="s">
        <v>116</v>
      </c>
      <c r="P5" s="81"/>
      <c r="Q5" s="82">
        <f>AS334</f>
        <v>3700</v>
      </c>
      <c r="R5" s="83"/>
      <c r="S5" s="20" t="s">
        <v>70</v>
      </c>
      <c r="T5" s="20"/>
      <c r="U5" s="61"/>
    </row>
    <row r="6" spans="1:21" x14ac:dyDescent="0.25">
      <c r="A6" s="14"/>
      <c r="B6" s="3"/>
      <c r="C6" s="3"/>
      <c r="D6" s="3"/>
      <c r="E6" s="3"/>
      <c r="F6" s="12"/>
      <c r="G6" s="82">
        <f>AU327</f>
        <v>256</v>
      </c>
      <c r="H6" s="83"/>
      <c r="I6" s="1" t="str">
        <f>AR281</f>
        <v>N/A</v>
      </c>
      <c r="J6" s="1" t="str">
        <f>AR280</f>
        <v>N/A</v>
      </c>
      <c r="K6" s="82" t="str">
        <f>AT330</f>
        <v>N/A</v>
      </c>
      <c r="L6" s="83"/>
      <c r="M6" s="19"/>
      <c r="N6" s="7"/>
      <c r="O6" s="8"/>
      <c r="P6" s="8"/>
      <c r="Q6" s="8"/>
      <c r="R6" s="8"/>
      <c r="S6" s="8"/>
      <c r="T6" s="8"/>
      <c r="U6" s="61"/>
    </row>
    <row r="7" spans="1:21" x14ac:dyDescent="0.25">
      <c r="A7" s="106" t="s">
        <v>104</v>
      </c>
      <c r="B7" s="107"/>
      <c r="C7" s="102">
        <v>32</v>
      </c>
      <c r="D7" s="103"/>
      <c r="E7" s="3"/>
      <c r="F7" s="15"/>
      <c r="G7" s="91" t="s">
        <v>176</v>
      </c>
      <c r="H7" s="91"/>
      <c r="I7" s="21" t="s">
        <v>157</v>
      </c>
      <c r="J7" s="22" t="s">
        <v>113</v>
      </c>
      <c r="K7" s="91" t="s">
        <v>105</v>
      </c>
      <c r="L7" s="91"/>
      <c r="M7" s="23"/>
      <c r="N7" s="7"/>
      <c r="O7" s="8"/>
      <c r="P7" s="8"/>
      <c r="Q7" s="8"/>
      <c r="R7" s="8"/>
      <c r="S7" s="8"/>
      <c r="T7" s="8"/>
      <c r="U7" s="61"/>
    </row>
    <row r="8" spans="1:21" x14ac:dyDescent="0.25">
      <c r="A8" s="14"/>
      <c r="B8" s="3"/>
      <c r="C8" s="3"/>
      <c r="D8" s="3"/>
      <c r="E8" s="3"/>
      <c r="F8" s="12"/>
      <c r="G8" s="20"/>
      <c r="H8" s="5"/>
      <c r="I8" s="24"/>
      <c r="J8" s="25"/>
      <c r="K8" s="26"/>
      <c r="L8" s="5"/>
      <c r="M8" s="23"/>
      <c r="N8" s="7"/>
      <c r="O8" s="8"/>
      <c r="P8" s="8"/>
      <c r="Q8" s="8"/>
      <c r="R8" s="8"/>
      <c r="S8" s="8"/>
      <c r="T8" s="8"/>
      <c r="U8" s="61"/>
    </row>
    <row r="9" spans="1:21" x14ac:dyDescent="0.25">
      <c r="A9" s="106" t="str">
        <f>AU304</f>
        <v>Payload Byte(s)</v>
      </c>
      <c r="B9" s="110"/>
      <c r="C9" s="102">
        <v>256</v>
      </c>
      <c r="D9" s="103"/>
      <c r="E9" s="27"/>
      <c r="F9" s="12"/>
      <c r="G9" s="28" t="s">
        <v>114</v>
      </c>
      <c r="H9" s="28"/>
      <c r="I9" s="29"/>
      <c r="J9" s="82">
        <f>AT321</f>
        <v>1000</v>
      </c>
      <c r="K9" s="83"/>
      <c r="L9" s="20" t="s">
        <v>70</v>
      </c>
      <c r="M9" s="23"/>
      <c r="N9" s="7"/>
      <c r="O9" s="8"/>
      <c r="P9" s="8"/>
      <c r="Q9" s="8"/>
      <c r="R9" s="8"/>
      <c r="S9" s="8"/>
      <c r="T9" s="8"/>
      <c r="U9" s="61"/>
    </row>
    <row r="10" spans="1:21" x14ac:dyDescent="0.25">
      <c r="A10" s="106"/>
      <c r="B10" s="111"/>
      <c r="C10" s="30"/>
      <c r="D10" s="31"/>
      <c r="E10" s="3"/>
      <c r="F10" s="12"/>
      <c r="G10" s="8"/>
      <c r="H10" s="8"/>
      <c r="I10" s="8"/>
      <c r="J10" s="8"/>
      <c r="K10" s="8"/>
      <c r="L10" s="5"/>
      <c r="M10" s="23"/>
      <c r="N10" s="7"/>
      <c r="O10" s="8"/>
      <c r="P10" s="8"/>
      <c r="Q10" s="8"/>
      <c r="R10" s="8"/>
      <c r="S10" s="8"/>
      <c r="T10" s="8"/>
      <c r="U10" s="61"/>
    </row>
    <row r="11" spans="1:21" x14ac:dyDescent="0.25">
      <c r="A11" s="78" t="s">
        <v>20</v>
      </c>
      <c r="B11" s="79"/>
      <c r="C11" s="79"/>
      <c r="D11" s="79"/>
      <c r="E11" s="3"/>
      <c r="F11" s="12"/>
      <c r="G11" s="90" t="s">
        <v>118</v>
      </c>
      <c r="H11" s="90"/>
      <c r="I11" s="90"/>
      <c r="J11" s="32" t="s">
        <v>108</v>
      </c>
      <c r="K11" s="84" t="s">
        <v>92</v>
      </c>
      <c r="L11" s="84"/>
      <c r="M11" s="23"/>
      <c r="N11" s="7"/>
      <c r="O11" s="8"/>
      <c r="P11" s="8"/>
      <c r="Q11" s="8"/>
      <c r="R11" s="8"/>
      <c r="S11" s="8"/>
      <c r="T11" s="8"/>
      <c r="U11" s="61"/>
    </row>
    <row r="12" spans="1:21" x14ac:dyDescent="0.25">
      <c r="A12" s="33"/>
      <c r="B12" s="34"/>
      <c r="C12" s="34"/>
      <c r="D12" s="35"/>
      <c r="E12" s="3"/>
      <c r="F12" s="12"/>
      <c r="G12" s="36"/>
      <c r="H12" s="37"/>
      <c r="I12" s="37"/>
      <c r="J12" s="38"/>
      <c r="K12" s="5"/>
      <c r="L12" s="5"/>
      <c r="M12" s="23"/>
      <c r="N12" s="7"/>
      <c r="O12" s="8"/>
      <c r="P12" s="8"/>
      <c r="Q12" s="5"/>
      <c r="R12" s="8"/>
      <c r="S12" s="8"/>
      <c r="T12" s="8"/>
      <c r="U12" s="61"/>
    </row>
    <row r="13" spans="1:21" x14ac:dyDescent="0.25">
      <c r="A13" s="108" t="s">
        <v>67</v>
      </c>
      <c r="B13" s="109"/>
      <c r="C13" s="112" t="s">
        <v>68</v>
      </c>
      <c r="D13" s="113"/>
      <c r="E13" s="3"/>
      <c r="F13" s="12"/>
      <c r="G13" s="39" t="s">
        <v>119</v>
      </c>
      <c r="H13" s="5"/>
      <c r="I13" s="5"/>
      <c r="J13" s="82">
        <f>AR282</f>
        <v>1000</v>
      </c>
      <c r="K13" s="83"/>
      <c r="L13" s="20" t="s">
        <v>120</v>
      </c>
      <c r="M13" s="23"/>
      <c r="N13" s="7"/>
      <c r="O13" s="8"/>
      <c r="P13" s="8"/>
      <c r="Q13" s="8"/>
      <c r="R13" s="8"/>
      <c r="S13" s="8"/>
      <c r="T13" s="8"/>
      <c r="U13" s="61"/>
    </row>
    <row r="14" spans="1:21" x14ac:dyDescent="0.25">
      <c r="A14" s="10"/>
      <c r="B14" s="10"/>
      <c r="C14" s="10"/>
      <c r="D14" s="3"/>
      <c r="E14" s="40"/>
      <c r="F14" s="41"/>
      <c r="G14" s="5"/>
      <c r="H14" s="5"/>
      <c r="I14" s="5"/>
      <c r="J14" s="5"/>
      <c r="K14" s="5"/>
      <c r="L14" s="5"/>
      <c r="M14" s="23"/>
      <c r="N14" s="7"/>
      <c r="O14" s="8"/>
      <c r="P14" s="8"/>
      <c r="Q14" s="8"/>
      <c r="R14" s="8"/>
      <c r="S14" s="8"/>
      <c r="T14" s="8"/>
      <c r="U14" s="61"/>
    </row>
    <row r="15" spans="1:21" x14ac:dyDescent="0.25">
      <c r="A15" s="54" t="s">
        <v>69</v>
      </c>
      <c r="B15" s="57"/>
      <c r="C15" s="85" t="str">
        <f>J9 &amp; " uS -- " &amp; $AS$326 &amp; " uS"</f>
        <v>1000 uS -- 200000 uS</v>
      </c>
      <c r="D15" s="85"/>
      <c r="E15" s="3"/>
      <c r="F15" s="12"/>
      <c r="G15" s="42" t="s">
        <v>109</v>
      </c>
      <c r="H15" s="42"/>
      <c r="I15" s="29"/>
      <c r="J15" s="82">
        <f>AX285</f>
        <v>2308000</v>
      </c>
      <c r="K15" s="83"/>
      <c r="L15" s="20" t="s">
        <v>84</v>
      </c>
      <c r="M15" s="23"/>
      <c r="N15" s="7"/>
      <c r="O15" s="8"/>
      <c r="P15" s="8"/>
      <c r="Q15" s="8"/>
      <c r="R15" s="8"/>
      <c r="S15" s="8"/>
      <c r="T15" s="8"/>
      <c r="U15" s="61"/>
    </row>
    <row r="16" spans="1:21" x14ac:dyDescent="0.25">
      <c r="A16" s="43"/>
      <c r="B16" s="35"/>
      <c r="C16" s="35"/>
      <c r="D16" s="44"/>
      <c r="E16" s="3"/>
      <c r="F16" s="12"/>
      <c r="G16" s="45"/>
      <c r="H16" s="45"/>
      <c r="I16" s="45"/>
      <c r="J16" s="5"/>
      <c r="K16" s="5"/>
      <c r="L16" s="5"/>
      <c r="M16" s="23"/>
      <c r="N16" s="7"/>
      <c r="O16" s="8"/>
      <c r="P16" s="8"/>
      <c r="Q16" s="8"/>
      <c r="R16" s="8"/>
      <c r="S16" s="8"/>
      <c r="T16" s="8"/>
      <c r="U16" s="61"/>
    </row>
    <row r="17" spans="1:28" x14ac:dyDescent="0.25">
      <c r="A17" s="9" t="s">
        <v>106</v>
      </c>
      <c r="B17" s="46"/>
      <c r="C17" s="100">
        <v>3000</v>
      </c>
      <c r="D17" s="101"/>
      <c r="E17" s="47" t="s">
        <v>70</v>
      </c>
      <c r="F17" s="12"/>
      <c r="G17" s="42" t="s">
        <v>110</v>
      </c>
      <c r="H17" s="42"/>
      <c r="I17" s="29"/>
      <c r="J17" s="82">
        <f>AX286</f>
        <v>2500000</v>
      </c>
      <c r="K17" s="83"/>
      <c r="L17" s="20" t="s">
        <v>84</v>
      </c>
      <c r="M17" s="23"/>
      <c r="N17" s="7"/>
      <c r="O17" s="8"/>
      <c r="P17" s="8"/>
      <c r="Q17" s="8"/>
      <c r="R17" s="8"/>
      <c r="S17" s="8"/>
      <c r="T17" s="8"/>
      <c r="U17" s="61"/>
    </row>
    <row r="18" spans="1:28" ht="15.75" thickBot="1" x14ac:dyDescent="0.3">
      <c r="A18" s="48"/>
      <c r="B18" s="3"/>
      <c r="C18" s="3"/>
      <c r="D18" s="3"/>
      <c r="E18" s="3"/>
      <c r="F18" s="12"/>
      <c r="G18" s="45"/>
      <c r="H18" s="45"/>
      <c r="I18" s="45"/>
      <c r="J18" s="5"/>
      <c r="K18" s="5"/>
      <c r="L18" s="5"/>
      <c r="M18" s="23"/>
      <c r="N18" s="7"/>
      <c r="O18" s="5"/>
      <c r="P18" s="5"/>
      <c r="Q18" s="5"/>
      <c r="R18" s="8"/>
      <c r="S18" s="8"/>
      <c r="T18" s="8"/>
      <c r="U18" s="61"/>
    </row>
    <row r="19" spans="1:28" ht="16.5" thickBot="1" x14ac:dyDescent="0.35">
      <c r="A19" s="106" t="s">
        <v>107</v>
      </c>
      <c r="B19" s="116"/>
      <c r="C19" s="100">
        <v>6000</v>
      </c>
      <c r="D19" s="101"/>
      <c r="E19" s="49" t="s">
        <v>70</v>
      </c>
      <c r="F19" s="12"/>
      <c r="G19" s="42" t="s">
        <v>111</v>
      </c>
      <c r="H19" s="42"/>
      <c r="I19" s="29"/>
      <c r="J19" s="82">
        <f>AX287</f>
        <v>2340000</v>
      </c>
      <c r="K19" s="83"/>
      <c r="L19" s="20" t="s">
        <v>84</v>
      </c>
      <c r="M19" s="23"/>
      <c r="N19" s="76" t="s">
        <v>83</v>
      </c>
      <c r="O19" s="76"/>
      <c r="P19" s="76"/>
      <c r="Q19" s="76"/>
      <c r="R19" s="76"/>
      <c r="S19" s="76"/>
      <c r="T19" s="77"/>
      <c r="U19" s="61"/>
    </row>
    <row r="20" spans="1:28" ht="15" customHeight="1" x14ac:dyDescent="0.25">
      <c r="A20" s="10"/>
      <c r="B20" s="10"/>
      <c r="C20" s="10"/>
      <c r="D20" s="10"/>
      <c r="E20" s="10"/>
      <c r="F20" s="12"/>
      <c r="G20" s="5"/>
      <c r="H20" s="5"/>
      <c r="I20" s="5"/>
      <c r="J20" s="5"/>
      <c r="K20" s="5"/>
      <c r="L20" s="5"/>
      <c r="M20" s="23"/>
      <c r="N20" s="120" t="str">
        <f>AE336</f>
        <v>This tool calculates the estimate of PSN bandwidth and the end-to-end latency incurred in encapsulating given TDM payload. The calculations are applicable to the encapsulation formats specified in RFC5086 (CESoP) and RFC4553 (SAToP).</v>
      </c>
      <c r="O20" s="121"/>
      <c r="P20" s="121"/>
      <c r="Q20" s="121"/>
      <c r="R20" s="121"/>
      <c r="S20" s="121"/>
      <c r="T20" s="122"/>
      <c r="U20" s="61"/>
    </row>
    <row r="21" spans="1:28" x14ac:dyDescent="0.25">
      <c r="A21" s="58" t="s">
        <v>172</v>
      </c>
      <c r="B21" s="59"/>
      <c r="C21" s="100"/>
      <c r="D21" s="101"/>
      <c r="E21" s="49" t="s">
        <v>70</v>
      </c>
      <c r="F21" s="12"/>
      <c r="G21" s="5"/>
      <c r="H21" s="5"/>
      <c r="I21" s="5"/>
      <c r="J21" s="5"/>
      <c r="K21" s="5"/>
      <c r="L21" s="5"/>
      <c r="M21" s="23"/>
      <c r="N21" s="123"/>
      <c r="O21" s="121"/>
      <c r="P21" s="121"/>
      <c r="Q21" s="121"/>
      <c r="R21" s="121"/>
      <c r="S21" s="121"/>
      <c r="T21" s="122"/>
      <c r="U21" s="61"/>
    </row>
    <row r="22" spans="1:28" x14ac:dyDescent="0.25">
      <c r="A22" s="2"/>
      <c r="B22" s="3"/>
      <c r="C22" s="3"/>
      <c r="D22" s="3"/>
      <c r="E22" s="50"/>
      <c r="F22" s="12"/>
      <c r="G22" s="5"/>
      <c r="H22" s="51"/>
      <c r="I22" s="5"/>
      <c r="J22" s="5"/>
      <c r="K22" s="5"/>
      <c r="L22" s="5"/>
      <c r="M22" s="23"/>
      <c r="N22" s="123"/>
      <c r="O22" s="121"/>
      <c r="P22" s="121"/>
      <c r="Q22" s="121"/>
      <c r="R22" s="121"/>
      <c r="S22" s="121"/>
      <c r="T22" s="122"/>
      <c r="U22" s="61"/>
    </row>
    <row r="23" spans="1:28" ht="15.75" thickBot="1" x14ac:dyDescent="0.3">
      <c r="A23" s="2"/>
      <c r="B23" s="3"/>
      <c r="C23" s="3"/>
      <c r="D23" s="3"/>
      <c r="E23" s="50"/>
      <c r="F23" s="5"/>
      <c r="G23" s="5"/>
      <c r="H23" s="5"/>
      <c r="I23" s="5"/>
      <c r="J23" s="5"/>
      <c r="K23" s="5"/>
      <c r="L23" s="5"/>
      <c r="M23" s="23"/>
      <c r="N23" s="123"/>
      <c r="O23" s="121"/>
      <c r="P23" s="121"/>
      <c r="Q23" s="121"/>
      <c r="R23" s="121"/>
      <c r="S23" s="121"/>
      <c r="T23" s="122"/>
      <c r="U23" s="61"/>
    </row>
    <row r="24" spans="1:28" ht="14.25" customHeight="1" thickBot="1" x14ac:dyDescent="0.35">
      <c r="A24" s="52"/>
      <c r="B24" s="52"/>
      <c r="C24" s="52"/>
      <c r="D24" s="52"/>
      <c r="E24" s="50"/>
      <c r="F24" s="104" t="s">
        <v>117</v>
      </c>
      <c r="G24" s="104"/>
      <c r="H24" s="104"/>
      <c r="I24" s="104"/>
      <c r="J24" s="104"/>
      <c r="K24" s="104"/>
      <c r="L24" s="104"/>
      <c r="M24" s="104"/>
      <c r="N24" s="123"/>
      <c r="O24" s="121"/>
      <c r="P24" s="121"/>
      <c r="Q24" s="121"/>
      <c r="R24" s="121"/>
      <c r="S24" s="121"/>
      <c r="T24" s="122"/>
      <c r="U24" s="61"/>
    </row>
    <row r="25" spans="1:28" x14ac:dyDescent="0.25">
      <c r="A25" s="53"/>
      <c r="B25" s="53"/>
      <c r="C25" s="53"/>
      <c r="D25" s="53"/>
      <c r="E25" s="53"/>
      <c r="F25" s="127" t="str">
        <f>TRIM(AP294)</f>
        <v/>
      </c>
      <c r="G25" s="128"/>
      <c r="H25" s="128"/>
      <c r="I25" s="128"/>
      <c r="J25" s="128"/>
      <c r="K25" s="128"/>
      <c r="L25" s="128"/>
      <c r="M25" s="128"/>
      <c r="N25" s="123"/>
      <c r="O25" s="121"/>
      <c r="P25" s="121"/>
      <c r="Q25" s="121"/>
      <c r="R25" s="121"/>
      <c r="S25" s="121"/>
      <c r="T25" s="122"/>
      <c r="U25" s="61"/>
    </row>
    <row r="26" spans="1:28" x14ac:dyDescent="0.25">
      <c r="A26" s="53"/>
      <c r="B26" s="53"/>
      <c r="C26" s="53"/>
      <c r="D26" s="53"/>
      <c r="E26" s="53"/>
      <c r="F26" s="98" t="str">
        <f>TRIM(AP295)</f>
        <v/>
      </c>
      <c r="G26" s="99"/>
      <c r="H26" s="99"/>
      <c r="I26" s="99"/>
      <c r="J26" s="99"/>
      <c r="K26" s="99"/>
      <c r="L26" s="99"/>
      <c r="M26" s="99"/>
      <c r="N26" s="123"/>
      <c r="O26" s="121"/>
      <c r="P26" s="121"/>
      <c r="Q26" s="121"/>
      <c r="R26" s="121"/>
      <c r="S26" s="121"/>
      <c r="T26" s="122"/>
      <c r="U26" s="61"/>
    </row>
    <row r="27" spans="1:28" x14ac:dyDescent="0.25">
      <c r="A27" s="53"/>
      <c r="B27" s="53"/>
      <c r="C27" s="53"/>
      <c r="D27" s="53"/>
      <c r="E27" s="53"/>
      <c r="F27" s="98" t="str">
        <f>TRIM(AP296)</f>
        <v/>
      </c>
      <c r="G27" s="99"/>
      <c r="H27" s="99"/>
      <c r="I27" s="99"/>
      <c r="J27" s="99"/>
      <c r="K27" s="99"/>
      <c r="L27" s="99"/>
      <c r="M27" s="99"/>
      <c r="N27" s="123"/>
      <c r="O27" s="121"/>
      <c r="P27" s="121"/>
      <c r="Q27" s="121"/>
      <c r="R27" s="121"/>
      <c r="S27" s="121"/>
      <c r="T27" s="122"/>
      <c r="U27" s="61"/>
    </row>
    <row r="28" spans="1:28" ht="15.75" thickBot="1" x14ac:dyDescent="0.3">
      <c r="A28" s="53"/>
      <c r="B28" s="53"/>
      <c r="C28" s="53"/>
      <c r="D28" s="53"/>
      <c r="E28" s="53"/>
      <c r="F28" s="98" t="str">
        <f>TRIM(AP297)</f>
        <v/>
      </c>
      <c r="G28" s="99"/>
      <c r="H28" s="99"/>
      <c r="I28" s="99"/>
      <c r="J28" s="99"/>
      <c r="K28" s="99"/>
      <c r="L28" s="99"/>
      <c r="M28" s="99"/>
      <c r="N28" s="124"/>
      <c r="O28" s="125"/>
      <c r="P28" s="125"/>
      <c r="Q28" s="125"/>
      <c r="R28" s="125"/>
      <c r="S28" s="125"/>
      <c r="T28" s="126"/>
      <c r="U28" s="61"/>
    </row>
    <row r="29" spans="1:28" ht="15.75" thickBot="1" x14ac:dyDescent="0.3">
      <c r="A29" s="117" t="s">
        <v>154</v>
      </c>
      <c r="B29" s="118"/>
      <c r="C29" s="118"/>
      <c r="D29" s="118"/>
      <c r="E29" s="118"/>
      <c r="F29" s="118"/>
      <c r="G29" s="118"/>
      <c r="H29" s="118"/>
      <c r="I29" s="118"/>
      <c r="J29" s="118"/>
      <c r="K29" s="118"/>
      <c r="L29" s="118"/>
      <c r="M29" s="118"/>
      <c r="N29" s="118"/>
      <c r="O29" s="118"/>
      <c r="P29" s="118"/>
      <c r="Q29" s="118"/>
      <c r="R29" s="118"/>
      <c r="S29" s="118"/>
      <c r="T29" s="119"/>
      <c r="U29" s="61"/>
    </row>
    <row r="30" spans="1:28" ht="12" hidden="1" customHeight="1" x14ac:dyDescent="0.25">
      <c r="A30" s="114"/>
      <c r="B30" s="115"/>
      <c r="C30" s="115"/>
      <c r="D30" s="115"/>
      <c r="E30" s="115"/>
      <c r="F30" s="115"/>
      <c r="G30" s="115"/>
      <c r="H30" s="115"/>
      <c r="I30" s="115"/>
      <c r="J30" s="115"/>
      <c r="K30" s="115"/>
      <c r="L30" s="115"/>
      <c r="M30" s="115"/>
      <c r="N30" s="56"/>
    </row>
    <row r="31" spans="1:28" hidden="1" x14ac:dyDescent="0.25">
      <c r="A31" s="56"/>
      <c r="B31" s="56"/>
      <c r="C31" s="56"/>
      <c r="D31" s="56"/>
      <c r="E31" s="56"/>
      <c r="F31" s="56"/>
      <c r="G31" s="56"/>
      <c r="H31" s="56"/>
      <c r="I31" s="56"/>
      <c r="J31" s="56"/>
      <c r="K31" s="56"/>
      <c r="L31" s="56"/>
      <c r="M31" s="56"/>
      <c r="N31" s="56"/>
    </row>
    <row r="32" spans="1:28" hidden="1" x14ac:dyDescent="0.25">
      <c r="A32" s="56"/>
      <c r="B32" s="56"/>
      <c r="C32" s="56"/>
      <c r="D32" s="56"/>
      <c r="E32" s="56"/>
      <c r="F32" s="56"/>
      <c r="G32" s="56"/>
      <c r="H32" s="56"/>
      <c r="I32" s="56"/>
      <c r="J32" s="56"/>
      <c r="W32" s="62"/>
      <c r="X32" s="62"/>
      <c r="Y32" s="62"/>
      <c r="Z32" s="62"/>
      <c r="AA32" s="62"/>
      <c r="AB32" s="62"/>
    </row>
    <row r="33" spans="1:28" hidden="1" x14ac:dyDescent="0.25">
      <c r="A33" s="56"/>
      <c r="B33" s="56"/>
      <c r="C33" s="56"/>
      <c r="D33" s="56"/>
      <c r="E33" s="56"/>
      <c r="F33" s="56"/>
      <c r="G33" s="56"/>
      <c r="H33" s="56"/>
      <c r="I33" s="56"/>
      <c r="J33" s="56"/>
      <c r="W33" s="62"/>
      <c r="X33" s="62"/>
      <c r="Y33" s="62"/>
      <c r="Z33" s="62"/>
      <c r="AA33" s="62"/>
      <c r="AB33" s="62"/>
    </row>
    <row r="34" spans="1:28" hidden="1" x14ac:dyDescent="0.25">
      <c r="A34" s="56"/>
      <c r="B34" s="56"/>
      <c r="C34" s="56"/>
      <c r="D34" s="56"/>
      <c r="E34" s="56"/>
      <c r="F34" s="56"/>
      <c r="G34" s="56"/>
      <c r="H34" s="56"/>
      <c r="I34" s="56"/>
      <c r="J34" s="56"/>
      <c r="W34" s="62"/>
      <c r="X34" s="62"/>
      <c r="Y34" s="62"/>
      <c r="Z34" s="63"/>
      <c r="AA34" s="62"/>
      <c r="AB34" s="62"/>
    </row>
    <row r="35" spans="1:28" hidden="1" x14ac:dyDescent="0.25">
      <c r="A35" s="56"/>
      <c r="B35" s="56"/>
      <c r="C35" s="56"/>
      <c r="D35" s="56"/>
      <c r="E35" s="56"/>
      <c r="F35" s="56"/>
      <c r="G35" s="56"/>
      <c r="H35" s="56"/>
      <c r="I35" s="56"/>
      <c r="J35" s="56"/>
      <c r="W35" s="62"/>
      <c r="X35" s="62"/>
      <c r="Y35" s="62"/>
      <c r="Z35" s="63"/>
      <c r="AA35" s="62"/>
      <c r="AB35" s="62"/>
    </row>
    <row r="36" spans="1:28" hidden="1" x14ac:dyDescent="0.25">
      <c r="A36" s="56"/>
      <c r="B36" s="56"/>
      <c r="C36" s="56"/>
      <c r="D36" s="56"/>
      <c r="E36" s="56"/>
      <c r="F36" s="56"/>
      <c r="G36" s="56"/>
      <c r="H36" s="56"/>
      <c r="I36" s="56"/>
      <c r="J36" s="56"/>
      <c r="W36" s="62"/>
      <c r="X36" s="62"/>
      <c r="Y36" s="62"/>
      <c r="Z36" s="63"/>
      <c r="AA36" s="62"/>
      <c r="AB36" s="62"/>
    </row>
    <row r="37" spans="1:28" hidden="1" x14ac:dyDescent="0.25">
      <c r="A37" s="56"/>
      <c r="B37" s="56"/>
      <c r="C37" s="56"/>
      <c r="D37" s="56"/>
      <c r="E37" s="56"/>
      <c r="F37" s="56"/>
      <c r="G37" s="56"/>
      <c r="H37" s="56"/>
      <c r="I37" s="56"/>
      <c r="J37" s="56"/>
      <c r="W37" s="62"/>
      <c r="X37" s="62"/>
      <c r="Y37" s="62"/>
      <c r="Z37" s="63"/>
      <c r="AA37" s="62"/>
      <c r="AB37" s="62"/>
    </row>
    <row r="38" spans="1:28" hidden="1" x14ac:dyDescent="0.25">
      <c r="W38" s="62"/>
      <c r="X38" s="62"/>
      <c r="Y38" s="62"/>
      <c r="Z38" s="63"/>
      <c r="AA38" s="62"/>
      <c r="AB38" s="62"/>
    </row>
    <row r="39" spans="1:28" hidden="1" x14ac:dyDescent="0.25">
      <c r="W39" s="62"/>
      <c r="X39" s="62"/>
      <c r="Y39" s="62"/>
      <c r="Z39" s="63"/>
      <c r="AA39" s="62"/>
      <c r="AB39" s="62"/>
    </row>
    <row r="40" spans="1:28" hidden="1" x14ac:dyDescent="0.25">
      <c r="W40" s="62"/>
      <c r="X40" s="62"/>
      <c r="Y40" s="62"/>
      <c r="Z40" s="63"/>
      <c r="AA40" s="62"/>
      <c r="AB40" s="62"/>
    </row>
    <row r="41" spans="1:28" hidden="1" x14ac:dyDescent="0.25">
      <c r="W41" s="62"/>
      <c r="X41" s="62"/>
      <c r="Y41" s="62"/>
      <c r="Z41" s="63"/>
      <c r="AA41" s="62"/>
      <c r="AB41" s="62"/>
    </row>
    <row r="42" spans="1:28" hidden="1" x14ac:dyDescent="0.25">
      <c r="W42" s="62"/>
      <c r="X42" s="62"/>
      <c r="Y42" s="62"/>
      <c r="Z42" s="63"/>
      <c r="AA42" s="62"/>
      <c r="AB42" s="62"/>
    </row>
    <row r="43" spans="1:28" hidden="1" x14ac:dyDescent="0.25">
      <c r="W43" s="62"/>
      <c r="X43" s="62"/>
      <c r="Y43" s="62"/>
      <c r="Z43" s="63"/>
      <c r="AA43" s="62"/>
      <c r="AB43" s="62"/>
    </row>
    <row r="44" spans="1:28" hidden="1" x14ac:dyDescent="0.25">
      <c r="W44" s="62"/>
      <c r="X44" s="62"/>
      <c r="Y44" s="62"/>
      <c r="Z44" s="63"/>
      <c r="AA44" s="62"/>
      <c r="AB44" s="62"/>
    </row>
    <row r="45" spans="1:28" hidden="1" x14ac:dyDescent="0.25">
      <c r="W45" s="62"/>
      <c r="X45" s="62"/>
      <c r="Y45" s="62"/>
      <c r="Z45" s="63"/>
      <c r="AA45" s="62"/>
      <c r="AB45" s="62"/>
    </row>
    <row r="46" spans="1:28" hidden="1" x14ac:dyDescent="0.25">
      <c r="W46" s="62"/>
      <c r="X46" s="62"/>
      <c r="Y46" s="62"/>
      <c r="Z46" s="63"/>
      <c r="AA46" s="62"/>
      <c r="AB46" s="62"/>
    </row>
    <row r="47" spans="1:28" hidden="1" x14ac:dyDescent="0.25"/>
    <row r="48" spans="1:2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spans="41:42" hidden="1" x14ac:dyDescent="0.25"/>
    <row r="226" spans="41:42" hidden="1" x14ac:dyDescent="0.25"/>
    <row r="227" spans="41:42" hidden="1" x14ac:dyDescent="0.25"/>
    <row r="228" spans="41:42" hidden="1" x14ac:dyDescent="0.25"/>
    <row r="229" spans="41:42" hidden="1" x14ac:dyDescent="0.25"/>
    <row r="230" spans="41:42" hidden="1" x14ac:dyDescent="0.25"/>
    <row r="231" spans="41:42" hidden="1" x14ac:dyDescent="0.25">
      <c r="AO231" s="60" t="s">
        <v>159</v>
      </c>
    </row>
    <row r="232" spans="41:42" hidden="1" x14ac:dyDescent="0.25">
      <c r="AO232" s="60">
        <v>0.1</v>
      </c>
      <c r="AP232" s="60" t="s">
        <v>160</v>
      </c>
    </row>
    <row r="233" spans="41:42" hidden="1" x14ac:dyDescent="0.25">
      <c r="AO233" s="60">
        <v>0.2</v>
      </c>
      <c r="AP233" s="60" t="s">
        <v>161</v>
      </c>
    </row>
    <row r="234" spans="41:42" hidden="1" x14ac:dyDescent="0.25">
      <c r="AO234" s="60">
        <v>0.3</v>
      </c>
      <c r="AP234" s="60" t="s">
        <v>164</v>
      </c>
    </row>
    <row r="235" spans="41:42" hidden="1" x14ac:dyDescent="0.25">
      <c r="AO235" s="60">
        <v>0.4</v>
      </c>
      <c r="AP235" s="60" t="s">
        <v>174</v>
      </c>
    </row>
    <row r="236" spans="41:42" hidden="1" x14ac:dyDescent="0.25"/>
    <row r="237" spans="41:42" hidden="1" x14ac:dyDescent="0.25"/>
    <row r="238" spans="41:42" hidden="1" x14ac:dyDescent="0.25"/>
    <row r="239" spans="41:42" hidden="1" x14ac:dyDescent="0.25"/>
    <row r="240" spans="41:42" hidden="1" x14ac:dyDescent="0.25"/>
    <row r="241" spans="40:48" hidden="1" x14ac:dyDescent="0.25"/>
    <row r="242" spans="40:48" hidden="1" x14ac:dyDescent="0.25"/>
    <row r="243" spans="40:48" hidden="1" x14ac:dyDescent="0.25"/>
    <row r="244" spans="40:48" hidden="1" x14ac:dyDescent="0.25"/>
    <row r="245" spans="40:48" hidden="1" x14ac:dyDescent="0.25"/>
    <row r="246" spans="40:48" hidden="1" x14ac:dyDescent="0.25"/>
    <row r="247" spans="40:48" hidden="1" x14ac:dyDescent="0.25"/>
    <row r="248" spans="40:48" hidden="1" x14ac:dyDescent="0.25"/>
    <row r="249" spans="40:48" hidden="1" x14ac:dyDescent="0.25"/>
    <row r="250" spans="40:48" hidden="1" x14ac:dyDescent="0.25"/>
    <row r="251" spans="40:48" hidden="1" x14ac:dyDescent="0.25"/>
    <row r="252" spans="40:48" hidden="1" x14ac:dyDescent="0.25"/>
    <row r="253" spans="40:48" hidden="1" x14ac:dyDescent="0.25"/>
    <row r="254" spans="40:48" hidden="1" x14ac:dyDescent="0.25"/>
    <row r="255" spans="40:48" hidden="1" x14ac:dyDescent="0.25">
      <c r="AN255" s="64" t="s">
        <v>17</v>
      </c>
      <c r="AO255" s="64"/>
      <c r="AP255" s="64" t="s">
        <v>16</v>
      </c>
      <c r="AV255" s="64" t="s">
        <v>29</v>
      </c>
    </row>
    <row r="256" spans="40:48" hidden="1" x14ac:dyDescent="0.25">
      <c r="AN256" s="60">
        <v>2</v>
      </c>
    </row>
    <row r="257" spans="26:50" ht="30" hidden="1" x14ac:dyDescent="0.25">
      <c r="AA257" s="60" t="s">
        <v>26</v>
      </c>
      <c r="AN257" s="60" t="s">
        <v>18</v>
      </c>
      <c r="AS257" s="60" t="s">
        <v>13</v>
      </c>
      <c r="AT257" s="60" t="s">
        <v>14</v>
      </c>
      <c r="AV257" s="60" t="s">
        <v>30</v>
      </c>
      <c r="AW257" s="65" t="s">
        <v>31</v>
      </c>
      <c r="AX257" s="65" t="s">
        <v>82</v>
      </c>
    </row>
    <row r="258" spans="26:50" hidden="1" x14ac:dyDescent="0.25">
      <c r="Z258" s="60" t="s">
        <v>27</v>
      </c>
      <c r="AA258" s="60" t="s">
        <v>22</v>
      </c>
      <c r="AN258" s="60" t="s">
        <v>19</v>
      </c>
      <c r="AS258" s="66" t="b">
        <v>1</v>
      </c>
      <c r="AT258" s="66" t="b">
        <v>0</v>
      </c>
      <c r="AV258" s="60" t="s">
        <v>24</v>
      </c>
      <c r="AW258" s="60">
        <v>32</v>
      </c>
      <c r="AX258" s="60">
        <f>32*8*8000</f>
        <v>2048000</v>
      </c>
    </row>
    <row r="259" spans="26:50" hidden="1" x14ac:dyDescent="0.25">
      <c r="Z259" s="60" t="s">
        <v>27</v>
      </c>
      <c r="AA259" s="60" t="s">
        <v>23</v>
      </c>
      <c r="AS259" s="60">
        <f>IF(AS258=TRUE, AQ263, 0)</f>
        <v>4</v>
      </c>
      <c r="AT259" s="60">
        <f>IF(AT258=TRUE,AQ271,0)</f>
        <v>0</v>
      </c>
      <c r="AV259" s="60" t="s">
        <v>25</v>
      </c>
      <c r="AW259" s="60">
        <v>24</v>
      </c>
      <c r="AX259" s="60">
        <f>193*8000</f>
        <v>1544000</v>
      </c>
    </row>
    <row r="260" spans="26:50" hidden="1" x14ac:dyDescent="0.25"/>
    <row r="261" spans="26:50" hidden="1" x14ac:dyDescent="0.25">
      <c r="AP261" s="60" t="s">
        <v>3</v>
      </c>
      <c r="AQ261" s="60">
        <v>6</v>
      </c>
      <c r="AS261" s="60" t="s">
        <v>0</v>
      </c>
      <c r="AT261" s="60">
        <f>SUM(AQ261,AQ262,AS259,AQ264,AQ269,AQ270,AT259, AQ275)</f>
        <v>30</v>
      </c>
    </row>
    <row r="262" spans="26:50" hidden="1" x14ac:dyDescent="0.25">
      <c r="AP262" s="60" t="s">
        <v>4</v>
      </c>
      <c r="AQ262" s="60">
        <v>6</v>
      </c>
      <c r="AS262" s="60" t="s">
        <v>1</v>
      </c>
      <c r="AT262" s="60">
        <f>SUM(AQ261,AQ262,AS259,AQ264,AQ265,AQ266,AQ270,AT259, AQ275)</f>
        <v>54</v>
      </c>
    </row>
    <row r="263" spans="26:50" hidden="1" x14ac:dyDescent="0.25">
      <c r="AP263" s="60" t="s">
        <v>5</v>
      </c>
      <c r="AQ263" s="60">
        <v>4</v>
      </c>
      <c r="AS263" s="60" t="s">
        <v>2</v>
      </c>
      <c r="AT263" s="60">
        <f>SUM(AQ261,AQ262,AS259,AQ264,AQ267,AQ268,AQ270,AT259, AQ275)</f>
        <v>34</v>
      </c>
    </row>
    <row r="264" spans="26:50" hidden="1" x14ac:dyDescent="0.25">
      <c r="AP264" s="60" t="s">
        <v>6</v>
      </c>
      <c r="AQ264" s="60">
        <v>2</v>
      </c>
    </row>
    <row r="265" spans="26:50" hidden="1" x14ac:dyDescent="0.25">
      <c r="AP265" s="60" t="s">
        <v>7</v>
      </c>
      <c r="AQ265" s="60">
        <v>20</v>
      </c>
    </row>
    <row r="266" spans="26:50" hidden="1" x14ac:dyDescent="0.25">
      <c r="AP266" s="60" t="s">
        <v>8</v>
      </c>
      <c r="AQ266" s="60">
        <v>8</v>
      </c>
    </row>
    <row r="267" spans="26:50" hidden="1" x14ac:dyDescent="0.25">
      <c r="AP267" s="60" t="s">
        <v>9</v>
      </c>
      <c r="AQ267" s="60">
        <v>4</v>
      </c>
    </row>
    <row r="268" spans="26:50" hidden="1" x14ac:dyDescent="0.25">
      <c r="AP268" s="60" t="s">
        <v>10</v>
      </c>
      <c r="AQ268" s="60">
        <v>4</v>
      </c>
    </row>
    <row r="269" spans="26:50" hidden="1" x14ac:dyDescent="0.25">
      <c r="AP269" s="60" t="s">
        <v>12</v>
      </c>
      <c r="AQ269" s="60">
        <v>4</v>
      </c>
    </row>
    <row r="270" spans="26:50" hidden="1" x14ac:dyDescent="0.25">
      <c r="AH270" s="64" t="s">
        <v>28</v>
      </c>
      <c r="AP270" s="60" t="s">
        <v>11</v>
      </c>
      <c r="AQ270" s="60">
        <v>4</v>
      </c>
    </row>
    <row r="271" spans="26:50" hidden="1" x14ac:dyDescent="0.25">
      <c r="AH271" s="60" t="s">
        <v>21</v>
      </c>
      <c r="AP271" s="60" t="s">
        <v>15</v>
      </c>
      <c r="AQ271" s="60">
        <v>12</v>
      </c>
    </row>
    <row r="272" spans="26:50" hidden="1" x14ac:dyDescent="0.25"/>
    <row r="273" spans="40:59" hidden="1" x14ac:dyDescent="0.25">
      <c r="AP273" s="60" t="s">
        <v>92</v>
      </c>
      <c r="AQ273" s="60">
        <v>8</v>
      </c>
    </row>
    <row r="274" spans="40:59" hidden="1" x14ac:dyDescent="0.25">
      <c r="AP274" s="60" t="s">
        <v>93</v>
      </c>
      <c r="AQ274" s="60">
        <v>12</v>
      </c>
    </row>
    <row r="275" spans="40:59" hidden="1" x14ac:dyDescent="0.25">
      <c r="AP275" s="60" t="s">
        <v>99</v>
      </c>
      <c r="AQ275" s="60">
        <v>4</v>
      </c>
    </row>
    <row r="276" spans="40:59" hidden="1" x14ac:dyDescent="0.25"/>
    <row r="277" spans="40:59" hidden="1" x14ac:dyDescent="0.25"/>
    <row r="278" spans="40:59" hidden="1" x14ac:dyDescent="0.25">
      <c r="BA278" s="64" t="s">
        <v>32</v>
      </c>
      <c r="BC278" s="64" t="s">
        <v>53</v>
      </c>
      <c r="BD278" s="64" t="s">
        <v>54</v>
      </c>
      <c r="BE278" s="64" t="s">
        <v>55</v>
      </c>
      <c r="BG278" s="64" t="s">
        <v>65</v>
      </c>
    </row>
    <row r="279" spans="40:59" hidden="1" x14ac:dyDescent="0.25">
      <c r="BA279" s="60">
        <v>1</v>
      </c>
      <c r="BC279" s="60">
        <v>1</v>
      </c>
      <c r="BD279" s="60">
        <v>1</v>
      </c>
      <c r="BE279" s="60">
        <v>1</v>
      </c>
      <c r="BG279" s="60">
        <f>$AT$321</f>
        <v>1000</v>
      </c>
    </row>
    <row r="280" spans="40:59" hidden="1" x14ac:dyDescent="0.25">
      <c r="AP280" s="60" t="s">
        <v>95</v>
      </c>
      <c r="AQ280" s="60">
        <f>AT327</f>
        <v>2048</v>
      </c>
      <c r="AR280" s="64" t="str">
        <f>IF(AY315=TRUE, AR329, "N/A")</f>
        <v>N/A</v>
      </c>
      <c r="AS280" s="60" t="s">
        <v>122</v>
      </c>
      <c r="AT280" s="105"/>
      <c r="AU280" s="105"/>
      <c r="AV280" s="105"/>
      <c r="AW280" s="105"/>
      <c r="BA280" s="60">
        <v>2</v>
      </c>
      <c r="BC280" s="60">
        <f>IF(BC279&lt;&gt;"", IF(BC279&lt;$AQ$319, BC279+1, ""), "")</f>
        <v>2</v>
      </c>
      <c r="BD280" s="60">
        <f>IF(BD279 &lt;&gt; "", IF(BD279&lt;$AQ$319, BD279*2, ""), "")</f>
        <v>2</v>
      </c>
      <c r="BE280" s="60">
        <f>IF(BE279 &lt;&gt; "", IF(BE279&lt;$AQ$319, BE279+1, ""), "")</f>
        <v>2</v>
      </c>
      <c r="BG280" s="60">
        <f>IF(BG279 &lt;&gt; "", IF(BG279+$AT$321 &lt;= $AR$322, BG279+$AT$321, ""), "")</f>
        <v>2000</v>
      </c>
    </row>
    <row r="281" spans="40:59" hidden="1" x14ac:dyDescent="0.25">
      <c r="AP281" s="60" t="s">
        <v>96</v>
      </c>
      <c r="AQ281" s="60">
        <f>AR330</f>
        <v>0</v>
      </c>
      <c r="AR281" s="64" t="str">
        <f>IF(AY315=TRUE, AR328, "N/A")</f>
        <v>N/A</v>
      </c>
      <c r="AS281" s="60" t="s">
        <v>121</v>
      </c>
      <c r="BA281" s="60">
        <v>3</v>
      </c>
      <c r="BC281" s="60">
        <f t="shared" ref="BC281:BC344" si="0">IF(BC280&lt;&gt;"", IF(BC280&lt;$AQ$319, BC280+1, ""), "")</f>
        <v>3</v>
      </c>
      <c r="BD281" s="60">
        <f t="shared" ref="BD281:BD283" si="1">IF(BD280 &lt;&gt; "", IF(BD280&lt;$AQ$319, BD280*2, ""), "")</f>
        <v>4</v>
      </c>
      <c r="BE281" s="60">
        <f>IF(BE280&lt;$AQ$319, BE280+1, "")</f>
        <v>3</v>
      </c>
      <c r="BG281" s="60">
        <f t="shared" ref="BG281:BG344" si="2">IF(BG280 &lt;&gt; "", IF(BG280+$AT$321 &lt;= $AR$322, BG280+$AT$321, ""), "")</f>
        <v>3000</v>
      </c>
    </row>
    <row r="282" spans="40:59" hidden="1" x14ac:dyDescent="0.25">
      <c r="AP282" s="60" t="s">
        <v>94</v>
      </c>
      <c r="AQ282" s="60">
        <f>1000000/AT321</f>
        <v>1000</v>
      </c>
      <c r="AR282" s="64">
        <f>ROUNDUP(AQ282, 0)</f>
        <v>1000</v>
      </c>
      <c r="AS282" s="60" t="s">
        <v>94</v>
      </c>
      <c r="AU282" s="64" t="s">
        <v>108</v>
      </c>
      <c r="AV282" s="66" t="b">
        <v>1</v>
      </c>
      <c r="AW282" s="64" t="s">
        <v>92</v>
      </c>
      <c r="AX282" s="66" t="b">
        <v>1</v>
      </c>
      <c r="BA282" s="60">
        <v>4</v>
      </c>
      <c r="BC282" s="60">
        <f t="shared" si="0"/>
        <v>4</v>
      </c>
      <c r="BD282" s="60">
        <f t="shared" si="1"/>
        <v>8</v>
      </c>
      <c r="BE282" s="60">
        <f>IF(BE281&lt;$AQ$319, BE281+1, "")</f>
        <v>4</v>
      </c>
      <c r="BG282" s="60">
        <f t="shared" si="2"/>
        <v>4000</v>
      </c>
    </row>
    <row r="283" spans="40:59" hidden="1" x14ac:dyDescent="0.25">
      <c r="AP283" s="64" t="s">
        <v>78</v>
      </c>
      <c r="BA283" s="60">
        <v>5</v>
      </c>
      <c r="BC283" s="60">
        <f t="shared" si="0"/>
        <v>5</v>
      </c>
      <c r="BD283" s="60">
        <f t="shared" si="1"/>
        <v>16</v>
      </c>
      <c r="BE283" s="60">
        <f>IF(BE282&lt;$AQ$319, BE282+2, "")</f>
        <v>6</v>
      </c>
      <c r="BG283" s="60">
        <f t="shared" si="2"/>
        <v>5000</v>
      </c>
    </row>
    <row r="284" spans="40:59" ht="30" hidden="1" x14ac:dyDescent="0.25">
      <c r="AP284" s="64" t="s">
        <v>79</v>
      </c>
      <c r="AQ284" s="64" t="s">
        <v>80</v>
      </c>
      <c r="AR284" s="64" t="s">
        <v>97</v>
      </c>
      <c r="AS284" s="64" t="s">
        <v>96</v>
      </c>
      <c r="AT284" s="67" t="s">
        <v>100</v>
      </c>
      <c r="AU284" s="67" t="s">
        <v>98</v>
      </c>
      <c r="AV284" s="67" t="s">
        <v>101</v>
      </c>
      <c r="AW284" s="64" t="s">
        <v>84</v>
      </c>
      <c r="BA284" s="60">
        <v>6</v>
      </c>
      <c r="BC284" s="60">
        <f t="shared" si="0"/>
        <v>6</v>
      </c>
      <c r="BE284" s="60">
        <f>IF(BE283&lt;$AQ$319, BE283+2, "")</f>
        <v>8</v>
      </c>
      <c r="BG284" s="60">
        <f t="shared" si="2"/>
        <v>6000</v>
      </c>
    </row>
    <row r="285" spans="40:59" hidden="1" x14ac:dyDescent="0.25">
      <c r="AP285" s="60" t="s">
        <v>0</v>
      </c>
      <c r="AQ285" s="60">
        <f>AT261</f>
        <v>30</v>
      </c>
      <c r="AR285" s="60">
        <f>AQ280+AQ285*8</f>
        <v>2288</v>
      </c>
      <c r="AS285" s="60">
        <f>IF(AQ281&lt;&gt;0, AQ281+AQ285*8, 0)</f>
        <v>0</v>
      </c>
      <c r="AT285" s="60">
        <f>MAX(64*8, AR285)</f>
        <v>2288</v>
      </c>
      <c r="AU285" s="60">
        <f>IF(AS285&lt;&gt;0, MAX(64*8, AS285), 0)</f>
        <v>0</v>
      </c>
      <c r="AV285" s="60">
        <f>IF(AU285&lt;&gt;0, (AU285-AT285)/$AR$329, 0)</f>
        <v>0</v>
      </c>
      <c r="AW285" s="60">
        <f>$AQ$282*(AT285+AV285 +IF($AV$282 = TRUE, $AQ$274, 0) + IF($AX$282=TRUE, $AQ$273, 0))</f>
        <v>2308000</v>
      </c>
      <c r="AX285" s="68">
        <f>ROUNDUP(AW285, 0)</f>
        <v>2308000</v>
      </c>
      <c r="BA285" s="60">
        <v>7</v>
      </c>
      <c r="BC285" s="60">
        <f t="shared" si="0"/>
        <v>7</v>
      </c>
      <c r="BE285" s="60">
        <f>IF(BE284&lt;$AQ$319, BE284+4, "")</f>
        <v>12</v>
      </c>
      <c r="BG285" s="60">
        <f t="shared" si="2"/>
        <v>7000</v>
      </c>
    </row>
    <row r="286" spans="40:59" hidden="1" x14ac:dyDescent="0.25">
      <c r="AP286" s="60" t="s">
        <v>1</v>
      </c>
      <c r="AQ286" s="60">
        <f>AT262</f>
        <v>54</v>
      </c>
      <c r="AR286" s="60">
        <f>AQ280+AQ286*8</f>
        <v>2480</v>
      </c>
      <c r="AS286" s="60">
        <f>IF(AQ281&lt;&gt;0, AQ281+AQ286*8, 0)</f>
        <v>0</v>
      </c>
      <c r="AT286" s="60">
        <f>MAX(64*8, AR286)</f>
        <v>2480</v>
      </c>
      <c r="AU286" s="60">
        <f>IF(AS286&lt;&gt;0, MAX(64*8, AS286), 0)</f>
        <v>0</v>
      </c>
      <c r="AV286" s="60">
        <f>IF(AU286&lt;&gt;0, (AU286-AT286)/$AR$329, 0)</f>
        <v>0</v>
      </c>
      <c r="AW286" s="60">
        <f t="shared" ref="AW286:AW287" si="3">$AQ$282*(AT286+AV286 +IF($AV$282 = TRUE, $AQ$274, 0) + IF($AX$282=TRUE, $AQ$273, 0))</f>
        <v>2500000</v>
      </c>
      <c r="AX286" s="69">
        <f t="shared" ref="AX286:AX287" si="4">ROUNDUP(AW286, 0)</f>
        <v>2500000</v>
      </c>
      <c r="BA286" s="60">
        <v>8</v>
      </c>
      <c r="BC286" s="60">
        <f t="shared" si="0"/>
        <v>8</v>
      </c>
      <c r="BE286" s="60">
        <f>IF(BE285&lt;$AQ$319, BE285+12, "")</f>
        <v>24</v>
      </c>
      <c r="BG286" s="60">
        <f t="shared" si="2"/>
        <v>8000</v>
      </c>
    </row>
    <row r="287" spans="40:59" hidden="1" x14ac:dyDescent="0.25">
      <c r="AP287" s="60" t="s">
        <v>2</v>
      </c>
      <c r="AQ287" s="60">
        <f>AT263</f>
        <v>34</v>
      </c>
      <c r="AR287" s="60">
        <f>AQ280+AQ287*8</f>
        <v>2320</v>
      </c>
      <c r="AS287" s="60">
        <f>IF(AQ281&lt;&gt;0, AQ281+AQ287*8, 0)</f>
        <v>0</v>
      </c>
      <c r="AT287" s="60">
        <f t="shared" ref="AT287" si="5">MAX(64*8, AR287)</f>
        <v>2320</v>
      </c>
      <c r="AU287" s="60">
        <f t="shared" ref="AU287" si="6">IF(AS287&lt;&gt;0, MAX(64*8, AS287), 0)</f>
        <v>0</v>
      </c>
      <c r="AV287" s="60">
        <f t="shared" ref="AV287" si="7">IF(AU287&lt;&gt;0, (AU287-AT287)/$AR$329, 0)</f>
        <v>0</v>
      </c>
      <c r="AW287" s="60">
        <f t="shared" si="3"/>
        <v>2340000</v>
      </c>
      <c r="AX287" s="70">
        <f t="shared" si="4"/>
        <v>2340000</v>
      </c>
      <c r="BA287" s="60">
        <v>9</v>
      </c>
      <c r="BC287" s="60">
        <f t="shared" si="0"/>
        <v>9</v>
      </c>
      <c r="BG287" s="60">
        <f t="shared" si="2"/>
        <v>9000</v>
      </c>
    </row>
    <row r="288" spans="40:59" hidden="1" x14ac:dyDescent="0.25">
      <c r="AN288" s="64"/>
      <c r="AO288" s="64"/>
      <c r="AP288" s="64"/>
      <c r="BA288" s="60">
        <v>10</v>
      </c>
      <c r="BC288" s="60">
        <f t="shared" si="0"/>
        <v>10</v>
      </c>
      <c r="BG288" s="60">
        <f t="shared" si="2"/>
        <v>10000</v>
      </c>
    </row>
    <row r="289" spans="40:59" hidden="1" x14ac:dyDescent="0.25">
      <c r="AN289" s="64"/>
      <c r="AO289" s="64"/>
      <c r="AP289" s="64"/>
      <c r="BA289" s="60">
        <v>11</v>
      </c>
      <c r="BC289" s="60">
        <f t="shared" si="0"/>
        <v>11</v>
      </c>
      <c r="BG289" s="60">
        <f t="shared" si="2"/>
        <v>11000</v>
      </c>
    </row>
    <row r="290" spans="40:59" hidden="1" x14ac:dyDescent="0.25">
      <c r="BA290" s="60">
        <v>12</v>
      </c>
      <c r="BC290" s="60">
        <f t="shared" si="0"/>
        <v>12</v>
      </c>
      <c r="BG290" s="60">
        <f t="shared" si="2"/>
        <v>12000</v>
      </c>
    </row>
    <row r="291" spans="40:59" hidden="1" x14ac:dyDescent="0.25">
      <c r="BA291" s="60">
        <v>13</v>
      </c>
      <c r="BC291" s="60">
        <f t="shared" si="0"/>
        <v>13</v>
      </c>
      <c r="BG291" s="60">
        <f t="shared" si="2"/>
        <v>13000</v>
      </c>
    </row>
    <row r="292" spans="40:59" hidden="1" x14ac:dyDescent="0.25">
      <c r="BA292" s="60">
        <v>14</v>
      </c>
      <c r="BC292" s="60">
        <f t="shared" si="0"/>
        <v>14</v>
      </c>
      <c r="BG292" s="60">
        <f t="shared" si="2"/>
        <v>14000</v>
      </c>
    </row>
    <row r="293" spans="40:59" hidden="1" x14ac:dyDescent="0.25">
      <c r="AP293" s="64" t="s">
        <v>162</v>
      </c>
      <c r="BA293" s="60">
        <v>15</v>
      </c>
      <c r="BC293" s="60">
        <f t="shared" si="0"/>
        <v>15</v>
      </c>
      <c r="BD293" s="64" t="s">
        <v>76</v>
      </c>
      <c r="BG293" s="60">
        <f t="shared" si="2"/>
        <v>15000</v>
      </c>
    </row>
    <row r="294" spans="40:59" hidden="1" x14ac:dyDescent="0.25">
      <c r="AO294" s="60">
        <v>1</v>
      </c>
      <c r="AP294" s="71"/>
      <c r="BA294" s="60">
        <v>16</v>
      </c>
      <c r="BC294" s="60">
        <f t="shared" si="0"/>
        <v>16</v>
      </c>
      <c r="BD294" s="60">
        <v>32</v>
      </c>
      <c r="BG294" s="60">
        <f t="shared" si="2"/>
        <v>16000</v>
      </c>
    </row>
    <row r="295" spans="40:59" hidden="1" x14ac:dyDescent="0.25">
      <c r="AO295" s="60">
        <v>2</v>
      </c>
      <c r="AP295" s="71"/>
      <c r="BA295" s="60">
        <v>17</v>
      </c>
      <c r="BC295" s="60">
        <f t="shared" si="0"/>
        <v>17</v>
      </c>
      <c r="BD295" s="60">
        <v>33</v>
      </c>
      <c r="BG295" s="60">
        <f t="shared" si="2"/>
        <v>17000</v>
      </c>
    </row>
    <row r="296" spans="40:59" hidden="1" x14ac:dyDescent="0.25">
      <c r="AO296" s="60">
        <v>3</v>
      </c>
      <c r="AP296" s="71"/>
      <c r="BA296" s="60">
        <v>18</v>
      </c>
      <c r="BC296" s="60">
        <f t="shared" si="0"/>
        <v>18</v>
      </c>
      <c r="BD296" s="60">
        <v>34</v>
      </c>
      <c r="BG296" s="60">
        <f t="shared" si="2"/>
        <v>18000</v>
      </c>
    </row>
    <row r="297" spans="40:59" hidden="1" x14ac:dyDescent="0.25">
      <c r="AO297" s="60">
        <v>4</v>
      </c>
      <c r="AP297" s="71"/>
      <c r="BA297" s="60">
        <v>19</v>
      </c>
      <c r="BC297" s="60" t="str">
        <f t="shared" si="0"/>
        <v/>
      </c>
      <c r="BD297" s="60">
        <v>35</v>
      </c>
      <c r="BG297" s="60">
        <f t="shared" si="2"/>
        <v>19000</v>
      </c>
    </row>
    <row r="298" spans="40:59" hidden="1" x14ac:dyDescent="0.25">
      <c r="BA298" s="60">
        <v>20</v>
      </c>
      <c r="BC298" s="60" t="str">
        <f t="shared" si="0"/>
        <v/>
      </c>
      <c r="BD298" s="60">
        <v>36</v>
      </c>
      <c r="BG298" s="60">
        <f t="shared" si="2"/>
        <v>20000</v>
      </c>
    </row>
    <row r="299" spans="40:59" hidden="1" x14ac:dyDescent="0.25">
      <c r="BA299" s="60">
        <v>21</v>
      </c>
      <c r="BC299" s="60" t="str">
        <f t="shared" si="0"/>
        <v/>
      </c>
      <c r="BD299" s="60">
        <v>37</v>
      </c>
      <c r="BG299" s="60">
        <f t="shared" si="2"/>
        <v>21000</v>
      </c>
    </row>
    <row r="300" spans="40:59" hidden="1" x14ac:dyDescent="0.25">
      <c r="BA300" s="60">
        <v>22</v>
      </c>
      <c r="BC300" s="60" t="str">
        <f t="shared" si="0"/>
        <v/>
      </c>
      <c r="BD300" s="60">
        <v>38</v>
      </c>
      <c r="BG300" s="60">
        <f t="shared" si="2"/>
        <v>22000</v>
      </c>
    </row>
    <row r="301" spans="40:59" hidden="1" x14ac:dyDescent="0.25">
      <c r="BA301" s="60">
        <v>23</v>
      </c>
      <c r="BC301" s="60" t="str">
        <f t="shared" si="0"/>
        <v/>
      </c>
      <c r="BD301" s="60">
        <v>39</v>
      </c>
      <c r="BG301" s="60">
        <f t="shared" si="2"/>
        <v>23000</v>
      </c>
    </row>
    <row r="302" spans="40:59" hidden="1" x14ac:dyDescent="0.25">
      <c r="BA302" s="60">
        <v>24</v>
      </c>
      <c r="BC302" s="60" t="str">
        <f t="shared" si="0"/>
        <v/>
      </c>
      <c r="BD302" s="60">
        <v>40</v>
      </c>
      <c r="BG302" s="60">
        <f t="shared" si="2"/>
        <v>24000</v>
      </c>
    </row>
    <row r="303" spans="40:59" hidden="1" x14ac:dyDescent="0.25">
      <c r="BA303" s="60">
        <v>25</v>
      </c>
      <c r="BC303" s="60" t="str">
        <f t="shared" si="0"/>
        <v/>
      </c>
      <c r="BD303" s="60">
        <v>41</v>
      </c>
      <c r="BG303" s="60">
        <f t="shared" si="2"/>
        <v>25000</v>
      </c>
    </row>
    <row r="304" spans="40:59" hidden="1" x14ac:dyDescent="0.25">
      <c r="AT304" s="64" t="s">
        <v>79</v>
      </c>
      <c r="AU304" s="64" t="str">
        <f>IF(AS315="e1unframed", "Payload Byte(s)", IF(AS315 = "t1unframed", "Payload Byte(s)", "Payload Frame(s)"))</f>
        <v>Payload Byte(s)</v>
      </c>
      <c r="BA304" s="60">
        <v>26</v>
      </c>
      <c r="BC304" s="60" t="str">
        <f t="shared" si="0"/>
        <v/>
      </c>
      <c r="BD304" s="60">
        <v>42</v>
      </c>
      <c r="BG304" s="60">
        <f t="shared" si="2"/>
        <v>26000</v>
      </c>
    </row>
    <row r="305" spans="40:59" ht="45" hidden="1" x14ac:dyDescent="0.25">
      <c r="AP305" s="67" t="s">
        <v>40</v>
      </c>
      <c r="AQ305" s="67" t="s">
        <v>39</v>
      </c>
      <c r="AR305" s="67" t="s">
        <v>38</v>
      </c>
      <c r="AS305" s="67" t="s">
        <v>41</v>
      </c>
      <c r="AT305" s="67" t="s">
        <v>49</v>
      </c>
      <c r="AU305" s="67" t="s">
        <v>56</v>
      </c>
      <c r="AV305" s="67" t="s">
        <v>77</v>
      </c>
      <c r="AW305" s="67" t="s">
        <v>62</v>
      </c>
      <c r="AX305" s="65" t="s">
        <v>63</v>
      </c>
      <c r="AY305" s="60" t="s">
        <v>90</v>
      </c>
      <c r="AZ305" s="65" t="s">
        <v>139</v>
      </c>
      <c r="BA305" s="60">
        <v>27</v>
      </c>
      <c r="BC305" s="60" t="str">
        <f t="shared" si="0"/>
        <v/>
      </c>
      <c r="BD305" s="60">
        <v>43</v>
      </c>
      <c r="BG305" s="60">
        <f t="shared" si="2"/>
        <v>27000</v>
      </c>
    </row>
    <row r="306" spans="40:59" hidden="1" x14ac:dyDescent="0.25">
      <c r="AP306" s="60" t="s">
        <v>42</v>
      </c>
      <c r="AQ306" s="60" t="s">
        <v>24</v>
      </c>
      <c r="AR306" s="60">
        <v>1</v>
      </c>
      <c r="AS306" s="60" t="s">
        <v>33</v>
      </c>
      <c r="AT306" s="60">
        <f ca="1">INDEX(INDIRECT(AS306),ROWS(INDIRECT(AS306)))</f>
        <v>32</v>
      </c>
      <c r="AU306" s="60" t="s">
        <v>163</v>
      </c>
      <c r="AV306" s="60">
        <v>256</v>
      </c>
      <c r="AW306" s="60">
        <f ca="1">COUNT(INDIRECT(AU306))</f>
        <v>545</v>
      </c>
      <c r="AY306" s="60" t="b">
        <v>0</v>
      </c>
      <c r="AZ306" s="60">
        <v>700</v>
      </c>
      <c r="BA306" s="60">
        <v>28</v>
      </c>
      <c r="BC306" s="60" t="str">
        <f t="shared" si="0"/>
        <v/>
      </c>
      <c r="BD306" s="60">
        <v>44</v>
      </c>
      <c r="BG306" s="60">
        <f t="shared" si="2"/>
        <v>28000</v>
      </c>
    </row>
    <row r="307" spans="40:59" hidden="1" x14ac:dyDescent="0.25">
      <c r="AP307" s="60" t="s">
        <v>43</v>
      </c>
      <c r="AQ307" s="60" t="s">
        <v>24</v>
      </c>
      <c r="AR307" s="60">
        <v>2</v>
      </c>
      <c r="AS307" s="60" t="s">
        <v>34</v>
      </c>
      <c r="AT307" s="60">
        <f t="shared" ref="AT307:AT314" ca="1" si="8">INDEX(INDIRECT(AS307),ROWS(INDIRECT(AS307)))</f>
        <v>31</v>
      </c>
      <c r="AU307" s="60" t="s">
        <v>57</v>
      </c>
      <c r="AV307" s="60">
        <v>8</v>
      </c>
      <c r="AW307" s="60">
        <f ca="1">COUNT(INDIRECT(AU307))</f>
        <v>18</v>
      </c>
      <c r="AY307" s="60" t="b">
        <v>0</v>
      </c>
      <c r="AZ307" s="60">
        <v>700</v>
      </c>
      <c r="BA307" s="60">
        <v>29</v>
      </c>
      <c r="BC307" s="60" t="str">
        <f t="shared" si="0"/>
        <v/>
      </c>
      <c r="BD307" s="60">
        <v>45</v>
      </c>
      <c r="BG307" s="60">
        <f t="shared" si="2"/>
        <v>29000</v>
      </c>
    </row>
    <row r="308" spans="40:59" hidden="1" x14ac:dyDescent="0.25">
      <c r="AP308" s="60" t="s">
        <v>44</v>
      </c>
      <c r="AQ308" s="60" t="s">
        <v>24</v>
      </c>
      <c r="AR308" s="60">
        <v>3</v>
      </c>
      <c r="AS308" s="60" t="s">
        <v>35</v>
      </c>
      <c r="AT308" s="60">
        <f t="shared" ca="1" si="8"/>
        <v>30</v>
      </c>
      <c r="AU308" s="60" t="s">
        <v>57</v>
      </c>
      <c r="AV308" s="60">
        <v>16</v>
      </c>
      <c r="AW308" s="60">
        <f ca="1">COUNT(INDIRECT(AU308))</f>
        <v>18</v>
      </c>
      <c r="AY308" s="60" t="b">
        <v>0</v>
      </c>
      <c r="AZ308" s="60">
        <v>700</v>
      </c>
      <c r="BA308" s="60">
        <v>30</v>
      </c>
      <c r="BC308" s="60" t="str">
        <f t="shared" si="0"/>
        <v/>
      </c>
      <c r="BD308" s="60">
        <v>46</v>
      </c>
      <c r="BG308" s="60">
        <f t="shared" si="2"/>
        <v>30000</v>
      </c>
    </row>
    <row r="309" spans="40:59" hidden="1" x14ac:dyDescent="0.25">
      <c r="AP309" s="60" t="s">
        <v>45</v>
      </c>
      <c r="AQ309" s="60" t="s">
        <v>24</v>
      </c>
      <c r="AR309" s="60">
        <v>4</v>
      </c>
      <c r="AS309" s="60" t="s">
        <v>35</v>
      </c>
      <c r="AT309" s="60">
        <f t="shared" ca="1" si="8"/>
        <v>30</v>
      </c>
      <c r="AU309" s="60" t="s">
        <v>58</v>
      </c>
      <c r="AV309" s="60">
        <v>16</v>
      </c>
      <c r="AW309" s="60">
        <f t="shared" ref="AW309:AW315" ca="1" si="9">COUNT(INDIRECT(AU309))</f>
        <v>5</v>
      </c>
      <c r="AX309" s="60">
        <v>16</v>
      </c>
      <c r="AY309" s="60" t="b">
        <v>1</v>
      </c>
      <c r="AZ309" s="60">
        <v>700</v>
      </c>
      <c r="BA309" s="60">
        <v>31</v>
      </c>
      <c r="BC309" s="60" t="str">
        <f t="shared" si="0"/>
        <v/>
      </c>
      <c r="BD309" s="60">
        <v>47</v>
      </c>
      <c r="BG309" s="60">
        <f t="shared" si="2"/>
        <v>31000</v>
      </c>
    </row>
    <row r="310" spans="40:59" hidden="1" x14ac:dyDescent="0.25">
      <c r="AP310" s="60" t="s">
        <v>46</v>
      </c>
      <c r="AQ310" s="60" t="s">
        <v>25</v>
      </c>
      <c r="AR310" s="60">
        <v>5</v>
      </c>
      <c r="AS310" s="60" t="s">
        <v>37</v>
      </c>
      <c r="AT310" s="60">
        <f t="shared" ca="1" si="8"/>
        <v>24</v>
      </c>
      <c r="AU310" s="60" t="s">
        <v>163</v>
      </c>
      <c r="AV310" s="60">
        <v>192</v>
      </c>
      <c r="AW310" s="60">
        <f t="shared" ca="1" si="9"/>
        <v>545</v>
      </c>
      <c r="AY310" s="60" t="b">
        <v>0</v>
      </c>
      <c r="AZ310" s="60">
        <v>700</v>
      </c>
      <c r="BA310" s="60">
        <v>32</v>
      </c>
      <c r="BC310" s="60" t="str">
        <f t="shared" si="0"/>
        <v/>
      </c>
      <c r="BD310" s="60">
        <v>48</v>
      </c>
      <c r="BG310" s="60">
        <f t="shared" si="2"/>
        <v>32000</v>
      </c>
    </row>
    <row r="311" spans="40:59" hidden="1" x14ac:dyDescent="0.25">
      <c r="AP311" s="60" t="s">
        <v>47</v>
      </c>
      <c r="AQ311" s="60" t="s">
        <v>25</v>
      </c>
      <c r="AR311" s="60">
        <v>6</v>
      </c>
      <c r="AS311" s="60" t="s">
        <v>36</v>
      </c>
      <c r="AT311" s="60">
        <f t="shared" ca="1" si="8"/>
        <v>24</v>
      </c>
      <c r="AU311" s="60" t="s">
        <v>57</v>
      </c>
      <c r="AV311" s="60">
        <v>24</v>
      </c>
      <c r="AW311" s="60">
        <f t="shared" ca="1" si="9"/>
        <v>18</v>
      </c>
      <c r="AY311" s="60" t="b">
        <v>0</v>
      </c>
      <c r="AZ311" s="60">
        <v>700</v>
      </c>
      <c r="BC311" s="60" t="str">
        <f t="shared" si="0"/>
        <v/>
      </c>
      <c r="BD311" s="60">
        <v>49</v>
      </c>
      <c r="BG311" s="60">
        <f t="shared" si="2"/>
        <v>33000</v>
      </c>
    </row>
    <row r="312" spans="40:59" hidden="1" x14ac:dyDescent="0.25">
      <c r="AP312" s="60" t="s">
        <v>48</v>
      </c>
      <c r="AQ312" s="60" t="s">
        <v>25</v>
      </c>
      <c r="AR312" s="60">
        <v>7</v>
      </c>
      <c r="AS312" s="60" t="s">
        <v>36</v>
      </c>
      <c r="AT312" s="60">
        <f t="shared" ca="1" si="8"/>
        <v>24</v>
      </c>
      <c r="AU312" s="60" t="s">
        <v>170</v>
      </c>
      <c r="AV312" s="60">
        <v>24</v>
      </c>
      <c r="AW312" s="60">
        <f t="shared" ca="1" si="9"/>
        <v>18</v>
      </c>
      <c r="AY312" s="60" t="b">
        <v>0</v>
      </c>
      <c r="AZ312" s="60">
        <v>700</v>
      </c>
      <c r="BC312" s="60" t="str">
        <f t="shared" si="0"/>
        <v/>
      </c>
      <c r="BD312" s="60">
        <v>50</v>
      </c>
      <c r="BG312" s="60">
        <f t="shared" si="2"/>
        <v>34000</v>
      </c>
    </row>
    <row r="313" spans="40:59" hidden="1" x14ac:dyDescent="0.25">
      <c r="AP313" s="60" t="s">
        <v>60</v>
      </c>
      <c r="AQ313" s="60" t="s">
        <v>25</v>
      </c>
      <c r="AR313" s="60">
        <v>8</v>
      </c>
      <c r="AS313" s="60" t="s">
        <v>36</v>
      </c>
      <c r="AT313" s="60">
        <f t="shared" ca="1" si="8"/>
        <v>24</v>
      </c>
      <c r="AU313" s="60" t="s">
        <v>59</v>
      </c>
      <c r="AV313" s="60">
        <v>24</v>
      </c>
      <c r="AW313" s="60">
        <f t="shared" ca="1" si="9"/>
        <v>8</v>
      </c>
      <c r="AX313" s="60">
        <v>24</v>
      </c>
      <c r="AY313" s="60" t="b">
        <v>1</v>
      </c>
      <c r="AZ313" s="60">
        <v>700</v>
      </c>
      <c r="BC313" s="60" t="str">
        <f t="shared" si="0"/>
        <v/>
      </c>
      <c r="BD313" s="60">
        <v>51</v>
      </c>
      <c r="BG313" s="60">
        <f t="shared" si="2"/>
        <v>35000</v>
      </c>
    </row>
    <row r="314" spans="40:59" hidden="1" x14ac:dyDescent="0.25">
      <c r="AP314" s="60" t="s">
        <v>61</v>
      </c>
      <c r="AQ314" s="60" t="s">
        <v>25</v>
      </c>
      <c r="AR314" s="60">
        <v>9</v>
      </c>
      <c r="AS314" s="60" t="s">
        <v>36</v>
      </c>
      <c r="AT314" s="60">
        <f t="shared" ca="1" si="8"/>
        <v>24</v>
      </c>
      <c r="AU314" s="60" t="s">
        <v>59</v>
      </c>
      <c r="AV314" s="60">
        <v>24</v>
      </c>
      <c r="AW314" s="60">
        <f t="shared" ca="1" si="9"/>
        <v>8</v>
      </c>
      <c r="AX314" s="60">
        <v>24</v>
      </c>
      <c r="AY314" s="60" t="b">
        <v>1</v>
      </c>
      <c r="AZ314" s="60">
        <v>700</v>
      </c>
      <c r="BC314" s="60" t="str">
        <f t="shared" si="0"/>
        <v/>
      </c>
      <c r="BD314" s="60">
        <v>52</v>
      </c>
      <c r="BG314" s="60">
        <f t="shared" si="2"/>
        <v>36000</v>
      </c>
    </row>
    <row r="315" spans="40:59" hidden="1" x14ac:dyDescent="0.25">
      <c r="AP315" s="64" t="str">
        <f>$C$5</f>
        <v>E1, Unframed</v>
      </c>
      <c r="AQ315" s="64" t="str">
        <f>INDEX(AQ306:AQ314, AR315)</f>
        <v>E1</v>
      </c>
      <c r="AR315" s="64">
        <f>VLOOKUP(AP315, AP306:AR314, 3, FALSE)</f>
        <v>1</v>
      </c>
      <c r="AS315" s="64" t="str">
        <f>INDEX(AS306:AS314, AR315)</f>
        <v>e1unframed</v>
      </c>
      <c r="AT315" s="64">
        <f ca="1">INDEX(AT306:AT314, AR315)</f>
        <v>32</v>
      </c>
      <c r="AU315" s="64" t="str">
        <f>INDEX(AU306:AU314, AR315)</f>
        <v>payldUnframed</v>
      </c>
      <c r="AV315" s="64">
        <f>INDEX(AV306:AV314,AR315)</f>
        <v>256</v>
      </c>
      <c r="AW315" s="64">
        <f t="shared" ca="1" si="9"/>
        <v>545</v>
      </c>
      <c r="AX315" s="64">
        <f>INDEX(AX306:AX314, AR315)</f>
        <v>0</v>
      </c>
      <c r="AY315" s="64" t="b">
        <f>VLOOKUP(AP315, AP306:AY314, 10, FALSE)</f>
        <v>0</v>
      </c>
      <c r="AZ315" s="64">
        <f>VLOOKUP(AP315, AP306:AZ314, 11, FALSE)</f>
        <v>700</v>
      </c>
      <c r="BC315" s="60" t="str">
        <f t="shared" si="0"/>
        <v/>
      </c>
      <c r="BD315" s="60">
        <v>53</v>
      </c>
      <c r="BG315" s="60">
        <f t="shared" si="2"/>
        <v>37000</v>
      </c>
    </row>
    <row r="316" spans="40:59" hidden="1" x14ac:dyDescent="0.25">
      <c r="AO316" s="64"/>
      <c r="BC316" s="60" t="str">
        <f t="shared" si="0"/>
        <v/>
      </c>
      <c r="BD316" s="60">
        <v>54</v>
      </c>
      <c r="BG316" s="60">
        <f t="shared" si="2"/>
        <v>38000</v>
      </c>
    </row>
    <row r="317" spans="40:59" hidden="1" x14ac:dyDescent="0.25">
      <c r="AP317" s="60" t="s">
        <v>50</v>
      </c>
      <c r="AQ317" s="64">
        <v>576</v>
      </c>
      <c r="AS317" s="60" t="s">
        <v>123</v>
      </c>
      <c r="AT317" s="64">
        <v>32</v>
      </c>
      <c r="BC317" s="60" t="str">
        <f t="shared" si="0"/>
        <v/>
      </c>
      <c r="BD317" s="60">
        <v>55</v>
      </c>
      <c r="BG317" s="60">
        <f t="shared" si="2"/>
        <v>39000</v>
      </c>
    </row>
    <row r="318" spans="40:59" hidden="1" x14ac:dyDescent="0.25">
      <c r="AN318" s="60" t="s">
        <v>52</v>
      </c>
      <c r="AP318" s="60" t="s">
        <v>21</v>
      </c>
      <c r="AQ318" s="60">
        <f>$C$7</f>
        <v>32</v>
      </c>
      <c r="AR318" s="60">
        <f>ROUNDDOWN(AQ317/AQ318, 0)</f>
        <v>18</v>
      </c>
      <c r="BC318" s="60" t="str">
        <f t="shared" si="0"/>
        <v/>
      </c>
      <c r="BD318" s="60">
        <v>56</v>
      </c>
      <c r="BG318" s="60">
        <f t="shared" si="2"/>
        <v>40000</v>
      </c>
    </row>
    <row r="319" spans="40:59" hidden="1" x14ac:dyDescent="0.25">
      <c r="AP319" s="60" t="s">
        <v>51</v>
      </c>
      <c r="AQ319" s="64">
        <f>IF(AX315&lt;&gt;0,MIN(AX315,AR318), AR318)</f>
        <v>18</v>
      </c>
      <c r="BC319" s="60" t="str">
        <f t="shared" si="0"/>
        <v/>
      </c>
      <c r="BD319" s="60">
        <v>57</v>
      </c>
      <c r="BG319" s="60">
        <f t="shared" si="2"/>
        <v>41000</v>
      </c>
    </row>
    <row r="320" spans="40:59" hidden="1" x14ac:dyDescent="0.25">
      <c r="AR320" s="64" t="s">
        <v>85</v>
      </c>
      <c r="AS320" s="64" t="s">
        <v>86</v>
      </c>
      <c r="AT320" s="64" t="s">
        <v>87</v>
      </c>
      <c r="BC320" s="60" t="str">
        <f t="shared" si="0"/>
        <v/>
      </c>
      <c r="BD320" s="60">
        <v>58</v>
      </c>
      <c r="BG320" s="60">
        <f t="shared" si="2"/>
        <v>42000</v>
      </c>
    </row>
    <row r="321" spans="29:59" hidden="1" x14ac:dyDescent="0.25">
      <c r="AP321" s="64" t="s">
        <v>66</v>
      </c>
      <c r="AR321" s="60">
        <f>$C$9*125</f>
        <v>32000</v>
      </c>
      <c r="AS321" s="60">
        <f>$C$9*8*1000000/VLOOKUP(AQ315, AV258:AX259, 3)</f>
        <v>1000</v>
      </c>
      <c r="AT321" s="64">
        <f>ROUNDUP(IF(AS315="e1unframed", AS321, IF(AS315="t1unframed", AS321, AR321)), 0)</f>
        <v>1000</v>
      </c>
      <c r="BC321" s="60" t="str">
        <f t="shared" si="0"/>
        <v/>
      </c>
      <c r="BD321" s="60">
        <v>59</v>
      </c>
      <c r="BG321" s="60">
        <f t="shared" si="2"/>
        <v>43000</v>
      </c>
    </row>
    <row r="322" spans="29:59" hidden="1" x14ac:dyDescent="0.25">
      <c r="AP322" s="60" t="s">
        <v>64</v>
      </c>
      <c r="AR322" s="60">
        <v>200000</v>
      </c>
      <c r="BC322" s="60" t="str">
        <f t="shared" si="0"/>
        <v/>
      </c>
      <c r="BD322" s="60">
        <v>60</v>
      </c>
      <c r="BG322" s="60">
        <f t="shared" si="2"/>
        <v>44000</v>
      </c>
    </row>
    <row r="323" spans="29:59" hidden="1" x14ac:dyDescent="0.25">
      <c r="AP323" s="60" t="s">
        <v>71</v>
      </c>
      <c r="AR323" s="60">
        <f>MIN(256, COUNT(maxJitterBuffer))</f>
        <v>200</v>
      </c>
      <c r="BC323" s="60" t="str">
        <f t="shared" si="0"/>
        <v/>
      </c>
      <c r="BD323" s="60">
        <v>61</v>
      </c>
      <c r="BG323" s="60">
        <f t="shared" si="2"/>
        <v>45000</v>
      </c>
    </row>
    <row r="324" spans="29:59" hidden="1" x14ac:dyDescent="0.25">
      <c r="AP324" s="60" t="s">
        <v>74</v>
      </c>
      <c r="AR324" s="60">
        <f>MAX(3000, 2*AT321)</f>
        <v>3000</v>
      </c>
      <c r="AS324" s="60" t="s">
        <v>75</v>
      </c>
      <c r="AT324" s="60">
        <f>MOD(AR324, AT321)</f>
        <v>0</v>
      </c>
      <c r="BC324" s="60" t="str">
        <f t="shared" si="0"/>
        <v/>
      </c>
      <c r="BD324" s="60">
        <v>62</v>
      </c>
      <c r="BG324" s="60">
        <f t="shared" si="2"/>
        <v>46000</v>
      </c>
    </row>
    <row r="325" spans="29:59" hidden="1" x14ac:dyDescent="0.25">
      <c r="AP325" s="60" t="s">
        <v>73</v>
      </c>
      <c r="AR325" s="60">
        <f>IF(AT324&lt;&gt;0,AR324+AT321-AT324,AR324)</f>
        <v>3000</v>
      </c>
      <c r="BC325" s="60" t="str">
        <f t="shared" si="0"/>
        <v/>
      </c>
      <c r="BD325" s="60">
        <v>63</v>
      </c>
      <c r="BG325" s="60">
        <f t="shared" si="2"/>
        <v>47000</v>
      </c>
    </row>
    <row r="326" spans="29:59" hidden="1" x14ac:dyDescent="0.25">
      <c r="AP326" s="60" t="s">
        <v>72</v>
      </c>
      <c r="AR326" s="60">
        <f>2*AR325</f>
        <v>6000</v>
      </c>
      <c r="AS326" s="64">
        <f>MIN(AR322, AT321*256)</f>
        <v>200000</v>
      </c>
      <c r="AT326" s="60" t="s">
        <v>124</v>
      </c>
      <c r="AU326" s="60" t="s">
        <v>125</v>
      </c>
      <c r="BC326" s="60" t="str">
        <f t="shared" si="0"/>
        <v/>
      </c>
      <c r="BD326" s="60">
        <v>64</v>
      </c>
      <c r="BG326" s="60">
        <f t="shared" si="2"/>
        <v>48000</v>
      </c>
    </row>
    <row r="327" spans="29:59" hidden="1" x14ac:dyDescent="0.25">
      <c r="AP327" s="60" t="s">
        <v>81</v>
      </c>
      <c r="AR327" s="60">
        <f>AQ318*8*$C$9</f>
        <v>65536</v>
      </c>
      <c r="AS327" s="60">
        <f>$C$9*8</f>
        <v>2048</v>
      </c>
      <c r="AT327" s="64">
        <f>IF(AS315="e1unframed", AS327, IF(AS315="t1unframed", AS327, AR327))</f>
        <v>2048</v>
      </c>
      <c r="AU327" s="64">
        <f>AT327/8</f>
        <v>256</v>
      </c>
      <c r="BC327" s="60" t="str">
        <f t="shared" si="0"/>
        <v/>
      </c>
      <c r="BD327" s="60">
        <v>65</v>
      </c>
      <c r="BG327" s="60">
        <f t="shared" si="2"/>
        <v>49000</v>
      </c>
    </row>
    <row r="328" spans="29:59" hidden="1" x14ac:dyDescent="0.25">
      <c r="AP328" s="60" t="s">
        <v>88</v>
      </c>
      <c r="AR328" s="60">
        <f>IF(AY315 = TRUE, ROUNDUP(AQ318/2, 0), 0)</f>
        <v>0</v>
      </c>
      <c r="BC328" s="60" t="str">
        <f t="shared" si="0"/>
        <v/>
      </c>
      <c r="BD328" s="60">
        <v>66</v>
      </c>
      <c r="BG328" s="60">
        <f t="shared" si="2"/>
        <v>50000</v>
      </c>
    </row>
    <row r="329" spans="29:59" hidden="1" x14ac:dyDescent="0.25">
      <c r="AP329" s="60" t="s">
        <v>89</v>
      </c>
      <c r="AR329" s="60">
        <f>IF(AY315 = TRUE, IF(AQ315="T1", 24/$C$9, 16/$C$9), 0)</f>
        <v>0</v>
      </c>
      <c r="BC329" s="60" t="str">
        <f t="shared" si="0"/>
        <v/>
      </c>
      <c r="BD329" s="60">
        <v>67</v>
      </c>
      <c r="BG329" s="60">
        <f t="shared" si="2"/>
        <v>51000</v>
      </c>
    </row>
    <row r="330" spans="29:59" hidden="1" x14ac:dyDescent="0.25">
      <c r="AP330" s="60" t="s">
        <v>91</v>
      </c>
      <c r="AR330" s="64">
        <f>IF(AY315 = TRUE, AT327+AR328*8, 0)</f>
        <v>0</v>
      </c>
      <c r="AT330" s="64" t="str">
        <f>IF(AY315=TRUE, AR330 / 8, "N/A")</f>
        <v>N/A</v>
      </c>
      <c r="BC330" s="60" t="str">
        <f t="shared" si="0"/>
        <v/>
      </c>
      <c r="BD330" s="60">
        <v>68</v>
      </c>
      <c r="BG330" s="60">
        <f t="shared" si="2"/>
        <v>52000</v>
      </c>
    </row>
    <row r="331" spans="29:59" hidden="1" x14ac:dyDescent="0.25">
      <c r="BC331" s="60" t="str">
        <f t="shared" si="0"/>
        <v/>
      </c>
      <c r="BD331" s="60">
        <v>69</v>
      </c>
      <c r="BG331" s="60">
        <f t="shared" si="2"/>
        <v>53000</v>
      </c>
    </row>
    <row r="332" spans="29:59" hidden="1" x14ac:dyDescent="0.25">
      <c r="AP332" s="60" t="s">
        <v>171</v>
      </c>
      <c r="AR332" s="60" t="b">
        <v>0</v>
      </c>
      <c r="BC332" s="60" t="str">
        <f t="shared" si="0"/>
        <v/>
      </c>
      <c r="BD332" s="60">
        <v>70</v>
      </c>
      <c r="BG332" s="60">
        <f t="shared" si="2"/>
        <v>54000</v>
      </c>
    </row>
    <row r="333" spans="29:59" hidden="1" x14ac:dyDescent="0.25">
      <c r="AP333" s="60" t="s">
        <v>167</v>
      </c>
      <c r="AR333" s="72">
        <f>$C$21</f>
        <v>0</v>
      </c>
      <c r="BC333" s="60" t="str">
        <f t="shared" si="0"/>
        <v/>
      </c>
      <c r="BD333" s="60">
        <v>71</v>
      </c>
      <c r="BG333" s="60">
        <f t="shared" si="2"/>
        <v>55000</v>
      </c>
    </row>
    <row r="334" spans="29:59" hidden="1" x14ac:dyDescent="0.25">
      <c r="AP334" s="60" t="s">
        <v>138</v>
      </c>
      <c r="AR334" s="72">
        <f>$C$17+AZ315+IF(AR332=TRUE, AT321, 0)</f>
        <v>3700</v>
      </c>
      <c r="AS334" s="64">
        <f>ROUNDUP(AR334/100, 0)*100+AR333</f>
        <v>3700</v>
      </c>
      <c r="BC334" s="60" t="str">
        <f t="shared" si="0"/>
        <v/>
      </c>
      <c r="BD334" s="60">
        <v>72</v>
      </c>
      <c r="BG334" s="60">
        <f t="shared" si="2"/>
        <v>56000</v>
      </c>
    </row>
    <row r="335" spans="29:59" hidden="1" x14ac:dyDescent="0.25">
      <c r="AC335" s="64" t="s">
        <v>151</v>
      </c>
      <c r="BC335" s="60" t="str">
        <f t="shared" si="0"/>
        <v/>
      </c>
      <c r="BD335" s="60">
        <v>73</v>
      </c>
      <c r="BG335" s="60">
        <f t="shared" si="2"/>
        <v>57000</v>
      </c>
    </row>
    <row r="336" spans="29:59" ht="170.25" hidden="1" customHeight="1" x14ac:dyDescent="0.25">
      <c r="AC336" s="73" t="s">
        <v>140</v>
      </c>
      <c r="AD336" s="74" t="str">
        <f>VLOOKUP(AC336, AC338:AD353, 2, FALSE)</f>
        <v>This tool calculates the estimate of PSN bandwidth and the end-to-end latency incurred in encapsulating given TDM payload. The calculations are applicable to the encapsulation formats specified in RFC5086 (CESoP) and RFC4553 (SAToP).</v>
      </c>
      <c r="AE336" s="75" t="str">
        <f>IF(ISERROR(AD336),"", AD336)</f>
        <v>This tool calculates the estimate of PSN bandwidth and the end-to-end latency incurred in encapsulating given TDM payload. The calculations are applicable to the encapsulation formats specified in RFC5086 (CESoP) and RFC4553 (SAToP).</v>
      </c>
      <c r="BC336" s="60" t="str">
        <f t="shared" si="0"/>
        <v/>
      </c>
      <c r="BD336" s="60">
        <v>74</v>
      </c>
      <c r="BG336" s="60">
        <f t="shared" si="2"/>
        <v>58000</v>
      </c>
    </row>
    <row r="337" spans="29:59" hidden="1" x14ac:dyDescent="0.25">
      <c r="AC337" s="62"/>
      <c r="AD337" s="62"/>
      <c r="AE337" s="62"/>
      <c r="BC337" s="60" t="str">
        <f t="shared" si="0"/>
        <v/>
      </c>
      <c r="BD337" s="60">
        <v>75</v>
      </c>
      <c r="BG337" s="60">
        <f t="shared" si="2"/>
        <v>59000</v>
      </c>
    </row>
    <row r="338" spans="29:59" hidden="1" x14ac:dyDescent="0.25">
      <c r="AC338" s="62" t="s">
        <v>126</v>
      </c>
      <c r="AD338" s="63"/>
      <c r="AE338" s="62"/>
      <c r="BC338" s="60" t="str">
        <f t="shared" si="0"/>
        <v/>
      </c>
      <c r="BD338" s="60">
        <v>76</v>
      </c>
      <c r="BG338" s="60">
        <f t="shared" si="2"/>
        <v>60000</v>
      </c>
    </row>
    <row r="339" spans="29:59" ht="165" hidden="1" x14ac:dyDescent="0.25">
      <c r="AC339" s="62" t="s">
        <v>127</v>
      </c>
      <c r="AD339" s="63" t="s">
        <v>143</v>
      </c>
      <c r="AE339" s="62"/>
      <c r="BC339" s="60" t="str">
        <f t="shared" si="0"/>
        <v/>
      </c>
      <c r="BD339" s="60">
        <v>77</v>
      </c>
      <c r="BG339" s="60">
        <f t="shared" si="2"/>
        <v>61000</v>
      </c>
    </row>
    <row r="340" spans="29:59" ht="135" hidden="1" x14ac:dyDescent="0.25">
      <c r="AC340" s="62" t="s">
        <v>128</v>
      </c>
      <c r="AD340" s="63" t="s">
        <v>144</v>
      </c>
      <c r="AE340" s="62"/>
      <c r="BC340" s="60" t="str">
        <f t="shared" si="0"/>
        <v/>
      </c>
      <c r="BD340" s="60">
        <v>78</v>
      </c>
      <c r="BG340" s="60">
        <f t="shared" si="2"/>
        <v>62000</v>
      </c>
    </row>
    <row r="341" spans="29:59" ht="165" hidden="1" x14ac:dyDescent="0.25">
      <c r="AC341" s="62" t="s">
        <v>129</v>
      </c>
      <c r="AD341" s="63" t="s">
        <v>152</v>
      </c>
      <c r="AE341" s="62"/>
      <c r="BC341" s="60" t="str">
        <f t="shared" si="0"/>
        <v/>
      </c>
      <c r="BD341" s="60">
        <v>79</v>
      </c>
      <c r="BG341" s="60">
        <f t="shared" si="2"/>
        <v>63000</v>
      </c>
    </row>
    <row r="342" spans="29:59" ht="165" hidden="1" x14ac:dyDescent="0.25">
      <c r="AC342" s="62" t="s">
        <v>130</v>
      </c>
      <c r="AD342" s="63" t="s">
        <v>145</v>
      </c>
      <c r="AE342" s="62"/>
      <c r="BC342" s="60" t="str">
        <f t="shared" si="0"/>
        <v/>
      </c>
      <c r="BD342" s="60">
        <v>80</v>
      </c>
      <c r="BG342" s="60">
        <f t="shared" si="2"/>
        <v>64000</v>
      </c>
    </row>
    <row r="343" spans="29:59" ht="195" hidden="1" x14ac:dyDescent="0.25">
      <c r="AC343" s="62" t="s">
        <v>136</v>
      </c>
      <c r="AD343" s="63" t="s">
        <v>148</v>
      </c>
      <c r="AE343" s="62"/>
      <c r="BC343" s="60" t="str">
        <f t="shared" si="0"/>
        <v/>
      </c>
      <c r="BD343" s="60">
        <v>81</v>
      </c>
      <c r="BG343" s="60">
        <f t="shared" si="2"/>
        <v>65000</v>
      </c>
    </row>
    <row r="344" spans="29:59" ht="165" hidden="1" x14ac:dyDescent="0.25">
      <c r="AC344" s="62" t="s">
        <v>146</v>
      </c>
      <c r="AD344" s="63" t="s">
        <v>149</v>
      </c>
      <c r="AE344" s="62"/>
      <c r="BC344" s="60" t="str">
        <f t="shared" si="0"/>
        <v/>
      </c>
      <c r="BD344" s="60">
        <v>82</v>
      </c>
      <c r="BG344" s="60">
        <f t="shared" si="2"/>
        <v>66000</v>
      </c>
    </row>
    <row r="345" spans="29:59" ht="195" hidden="1" x14ac:dyDescent="0.25">
      <c r="AC345" s="62" t="s">
        <v>147</v>
      </c>
      <c r="AD345" s="63" t="s">
        <v>169</v>
      </c>
      <c r="AE345" s="62"/>
      <c r="BC345" s="60" t="str">
        <f t="shared" ref="BC345:BC408" si="10">IF(BC344&lt;&gt;"", IF(BC344&lt;$AQ$319, BC344+1, ""), "")</f>
        <v/>
      </c>
      <c r="BD345" s="60">
        <v>83</v>
      </c>
      <c r="BG345" s="60">
        <f t="shared" ref="BG345:BG408" si="11">IF(BG344 &lt;&gt; "", IF(BG344+$AT$321 &lt;= $AR$322, BG344+$AT$321, ""), "")</f>
        <v>67000</v>
      </c>
    </row>
    <row r="346" spans="29:59" ht="105" hidden="1" x14ac:dyDescent="0.25">
      <c r="AC346" s="62" t="s">
        <v>131</v>
      </c>
      <c r="AD346" s="63" t="s">
        <v>177</v>
      </c>
      <c r="AE346" s="62"/>
      <c r="BC346" s="60" t="str">
        <f t="shared" si="10"/>
        <v/>
      </c>
      <c r="BD346" s="60">
        <v>84</v>
      </c>
      <c r="BG346" s="60">
        <f t="shared" si="11"/>
        <v>68000</v>
      </c>
    </row>
    <row r="347" spans="29:59" ht="210" hidden="1" x14ac:dyDescent="0.25">
      <c r="AC347" s="62" t="s">
        <v>132</v>
      </c>
      <c r="AD347" s="63" t="s">
        <v>158</v>
      </c>
      <c r="AE347" s="62"/>
      <c r="BC347" s="60" t="str">
        <f t="shared" si="10"/>
        <v/>
      </c>
      <c r="BD347" s="60">
        <v>85</v>
      </c>
      <c r="BG347" s="60">
        <f t="shared" si="11"/>
        <v>69000</v>
      </c>
    </row>
    <row r="348" spans="29:59" ht="45" hidden="1" x14ac:dyDescent="0.25">
      <c r="AC348" s="62" t="s">
        <v>133</v>
      </c>
      <c r="AD348" s="63" t="s">
        <v>150</v>
      </c>
      <c r="AE348" s="62"/>
      <c r="BC348" s="60" t="str">
        <f t="shared" si="10"/>
        <v/>
      </c>
      <c r="BD348" s="60">
        <v>86</v>
      </c>
      <c r="BG348" s="60">
        <f t="shared" si="11"/>
        <v>70000</v>
      </c>
    </row>
    <row r="349" spans="29:59" ht="120" hidden="1" x14ac:dyDescent="0.25">
      <c r="AC349" s="62" t="s">
        <v>134</v>
      </c>
      <c r="AD349" s="63" t="s">
        <v>153</v>
      </c>
      <c r="AE349" s="62"/>
      <c r="BC349" s="60" t="str">
        <f t="shared" si="10"/>
        <v/>
      </c>
      <c r="BD349" s="60">
        <v>87</v>
      </c>
      <c r="BG349" s="60">
        <f t="shared" si="11"/>
        <v>71000</v>
      </c>
    </row>
    <row r="350" spans="29:59" ht="150" hidden="1" x14ac:dyDescent="0.25">
      <c r="AC350" s="62" t="s">
        <v>135</v>
      </c>
      <c r="AD350" s="63" t="s">
        <v>173</v>
      </c>
      <c r="AE350" s="62"/>
      <c r="BC350" s="60" t="str">
        <f t="shared" si="10"/>
        <v/>
      </c>
      <c r="BD350" s="60">
        <v>88</v>
      </c>
      <c r="BG350" s="60">
        <f t="shared" si="11"/>
        <v>72000</v>
      </c>
    </row>
    <row r="351" spans="29:59" ht="60" hidden="1" x14ac:dyDescent="0.25">
      <c r="AC351" s="62" t="s">
        <v>137</v>
      </c>
      <c r="AD351" s="63" t="s">
        <v>142</v>
      </c>
      <c r="AE351" s="62"/>
      <c r="BC351" s="60" t="str">
        <f t="shared" si="10"/>
        <v/>
      </c>
      <c r="BD351" s="60">
        <v>89</v>
      </c>
      <c r="BG351" s="60">
        <f t="shared" si="11"/>
        <v>73000</v>
      </c>
    </row>
    <row r="352" spans="29:59" ht="90" hidden="1" x14ac:dyDescent="0.25">
      <c r="AC352" s="62" t="s">
        <v>140</v>
      </c>
      <c r="AD352" s="63" t="s">
        <v>165</v>
      </c>
      <c r="AE352" s="62"/>
      <c r="BC352" s="60" t="str">
        <f t="shared" si="10"/>
        <v/>
      </c>
      <c r="BD352" s="60">
        <v>90</v>
      </c>
      <c r="BG352" s="60">
        <f t="shared" si="11"/>
        <v>74000</v>
      </c>
    </row>
    <row r="353" spans="29:59" ht="155.25" hidden="1" customHeight="1" x14ac:dyDescent="0.25">
      <c r="AC353" s="60" t="s">
        <v>166</v>
      </c>
      <c r="AD353" s="65" t="s">
        <v>168</v>
      </c>
      <c r="BC353" s="60" t="str">
        <f t="shared" si="10"/>
        <v/>
      </c>
      <c r="BD353" s="60">
        <v>91</v>
      </c>
      <c r="BG353" s="60">
        <f t="shared" si="11"/>
        <v>75000</v>
      </c>
    </row>
    <row r="354" spans="29:59" ht="19.5" hidden="1" customHeight="1" x14ac:dyDescent="0.25">
      <c r="BC354" s="60" t="str">
        <f t="shared" si="10"/>
        <v/>
      </c>
      <c r="BD354" s="60">
        <v>92</v>
      </c>
      <c r="BG354" s="60">
        <f t="shared" si="11"/>
        <v>76000</v>
      </c>
    </row>
    <row r="355" spans="29:59" hidden="1" x14ac:dyDescent="0.25">
      <c r="BC355" s="60" t="str">
        <f t="shared" si="10"/>
        <v/>
      </c>
      <c r="BD355" s="60">
        <v>93</v>
      </c>
      <c r="BG355" s="60">
        <f t="shared" si="11"/>
        <v>77000</v>
      </c>
    </row>
    <row r="356" spans="29:59" hidden="1" x14ac:dyDescent="0.25">
      <c r="BC356" s="60" t="str">
        <f t="shared" si="10"/>
        <v/>
      </c>
      <c r="BD356" s="60">
        <v>94</v>
      </c>
      <c r="BG356" s="60">
        <f t="shared" si="11"/>
        <v>78000</v>
      </c>
    </row>
    <row r="357" spans="29:59" hidden="1" x14ac:dyDescent="0.25">
      <c r="BC357" s="60" t="str">
        <f t="shared" si="10"/>
        <v/>
      </c>
      <c r="BD357" s="60">
        <v>95</v>
      </c>
      <c r="BG357" s="60">
        <f t="shared" si="11"/>
        <v>79000</v>
      </c>
    </row>
    <row r="358" spans="29:59" hidden="1" x14ac:dyDescent="0.25">
      <c r="BC358" s="60" t="str">
        <f t="shared" si="10"/>
        <v/>
      </c>
      <c r="BD358" s="60">
        <v>96</v>
      </c>
      <c r="BG358" s="60">
        <f t="shared" si="11"/>
        <v>80000</v>
      </c>
    </row>
    <row r="359" spans="29:59" hidden="1" x14ac:dyDescent="0.25">
      <c r="BC359" s="60" t="str">
        <f t="shared" si="10"/>
        <v/>
      </c>
      <c r="BD359" s="60">
        <v>97</v>
      </c>
      <c r="BG359" s="60">
        <f t="shared" si="11"/>
        <v>81000</v>
      </c>
    </row>
    <row r="360" spans="29:59" hidden="1" x14ac:dyDescent="0.25">
      <c r="BC360" s="60" t="str">
        <f t="shared" si="10"/>
        <v/>
      </c>
      <c r="BD360" s="60">
        <v>98</v>
      </c>
      <c r="BG360" s="60">
        <f t="shared" si="11"/>
        <v>82000</v>
      </c>
    </row>
    <row r="361" spans="29:59" hidden="1" x14ac:dyDescent="0.25">
      <c r="BC361" s="60" t="str">
        <f t="shared" si="10"/>
        <v/>
      </c>
      <c r="BD361" s="60">
        <v>99</v>
      </c>
      <c r="BG361" s="60">
        <f t="shared" si="11"/>
        <v>83000</v>
      </c>
    </row>
    <row r="362" spans="29:59" hidden="1" x14ac:dyDescent="0.25">
      <c r="BC362" s="60" t="str">
        <f t="shared" si="10"/>
        <v/>
      </c>
      <c r="BD362" s="60">
        <v>100</v>
      </c>
      <c r="BG362" s="60">
        <f t="shared" si="11"/>
        <v>84000</v>
      </c>
    </row>
    <row r="363" spans="29:59" hidden="1" x14ac:dyDescent="0.25">
      <c r="BC363" s="60" t="str">
        <f t="shared" si="10"/>
        <v/>
      </c>
      <c r="BD363" s="60">
        <v>101</v>
      </c>
      <c r="BG363" s="60">
        <f t="shared" si="11"/>
        <v>85000</v>
      </c>
    </row>
    <row r="364" spans="29:59" hidden="1" x14ac:dyDescent="0.25">
      <c r="BC364" s="60" t="str">
        <f t="shared" si="10"/>
        <v/>
      </c>
      <c r="BD364" s="60">
        <v>102</v>
      </c>
      <c r="BG364" s="60">
        <f t="shared" si="11"/>
        <v>86000</v>
      </c>
    </row>
    <row r="365" spans="29:59" hidden="1" x14ac:dyDescent="0.25">
      <c r="BC365" s="60" t="str">
        <f t="shared" si="10"/>
        <v/>
      </c>
      <c r="BD365" s="60">
        <v>103</v>
      </c>
      <c r="BG365" s="60">
        <f t="shared" si="11"/>
        <v>87000</v>
      </c>
    </row>
    <row r="366" spans="29:59" hidden="1" x14ac:dyDescent="0.25">
      <c r="BC366" s="60" t="str">
        <f t="shared" si="10"/>
        <v/>
      </c>
      <c r="BD366" s="60">
        <v>104</v>
      </c>
      <c r="BG366" s="60">
        <f t="shared" si="11"/>
        <v>88000</v>
      </c>
    </row>
    <row r="367" spans="29:59" hidden="1" x14ac:dyDescent="0.25">
      <c r="BC367" s="60" t="str">
        <f t="shared" si="10"/>
        <v/>
      </c>
      <c r="BD367" s="60">
        <v>105</v>
      </c>
      <c r="BG367" s="60">
        <f t="shared" si="11"/>
        <v>89000</v>
      </c>
    </row>
    <row r="368" spans="29:59" hidden="1" x14ac:dyDescent="0.25">
      <c r="BC368" s="60" t="str">
        <f t="shared" si="10"/>
        <v/>
      </c>
      <c r="BD368" s="60">
        <v>106</v>
      </c>
      <c r="BG368" s="60">
        <f t="shared" si="11"/>
        <v>90000</v>
      </c>
    </row>
    <row r="369" spans="55:59" hidden="1" x14ac:dyDescent="0.25">
      <c r="BC369" s="60" t="str">
        <f t="shared" si="10"/>
        <v/>
      </c>
      <c r="BD369" s="60">
        <v>107</v>
      </c>
      <c r="BG369" s="60">
        <f t="shared" si="11"/>
        <v>91000</v>
      </c>
    </row>
    <row r="370" spans="55:59" hidden="1" x14ac:dyDescent="0.25">
      <c r="BC370" s="60" t="str">
        <f t="shared" si="10"/>
        <v/>
      </c>
      <c r="BD370" s="60">
        <v>108</v>
      </c>
      <c r="BG370" s="60">
        <f t="shared" si="11"/>
        <v>92000</v>
      </c>
    </row>
    <row r="371" spans="55:59" hidden="1" x14ac:dyDescent="0.25">
      <c r="BC371" s="60" t="str">
        <f t="shared" si="10"/>
        <v/>
      </c>
      <c r="BD371" s="60">
        <v>109</v>
      </c>
      <c r="BG371" s="60">
        <f t="shared" si="11"/>
        <v>93000</v>
      </c>
    </row>
    <row r="372" spans="55:59" hidden="1" x14ac:dyDescent="0.25">
      <c r="BC372" s="60" t="str">
        <f t="shared" si="10"/>
        <v/>
      </c>
      <c r="BD372" s="60">
        <v>110</v>
      </c>
      <c r="BG372" s="60">
        <f t="shared" si="11"/>
        <v>94000</v>
      </c>
    </row>
    <row r="373" spans="55:59" hidden="1" x14ac:dyDescent="0.25">
      <c r="BC373" s="60" t="str">
        <f t="shared" si="10"/>
        <v/>
      </c>
      <c r="BD373" s="60">
        <v>111</v>
      </c>
      <c r="BG373" s="60">
        <f t="shared" si="11"/>
        <v>95000</v>
      </c>
    </row>
    <row r="374" spans="55:59" hidden="1" x14ac:dyDescent="0.25">
      <c r="BC374" s="60" t="str">
        <f t="shared" si="10"/>
        <v/>
      </c>
      <c r="BD374" s="60">
        <v>112</v>
      </c>
      <c r="BG374" s="60">
        <f t="shared" si="11"/>
        <v>96000</v>
      </c>
    </row>
    <row r="375" spans="55:59" hidden="1" x14ac:dyDescent="0.25">
      <c r="BC375" s="60" t="str">
        <f t="shared" si="10"/>
        <v/>
      </c>
      <c r="BD375" s="60">
        <v>113</v>
      </c>
      <c r="BG375" s="60">
        <f t="shared" si="11"/>
        <v>97000</v>
      </c>
    </row>
    <row r="376" spans="55:59" hidden="1" x14ac:dyDescent="0.25">
      <c r="BC376" s="60" t="str">
        <f t="shared" si="10"/>
        <v/>
      </c>
      <c r="BD376" s="60">
        <v>114</v>
      </c>
      <c r="BG376" s="60">
        <f t="shared" si="11"/>
        <v>98000</v>
      </c>
    </row>
    <row r="377" spans="55:59" hidden="1" x14ac:dyDescent="0.25">
      <c r="BC377" s="60" t="str">
        <f t="shared" si="10"/>
        <v/>
      </c>
      <c r="BD377" s="60">
        <v>115</v>
      </c>
      <c r="BG377" s="60">
        <f t="shared" si="11"/>
        <v>99000</v>
      </c>
    </row>
    <row r="378" spans="55:59" hidden="1" x14ac:dyDescent="0.25">
      <c r="BC378" s="60" t="str">
        <f t="shared" si="10"/>
        <v/>
      </c>
      <c r="BD378" s="60">
        <v>116</v>
      </c>
      <c r="BG378" s="60">
        <f t="shared" si="11"/>
        <v>100000</v>
      </c>
    </row>
    <row r="379" spans="55:59" hidden="1" x14ac:dyDescent="0.25">
      <c r="BC379" s="60" t="str">
        <f t="shared" si="10"/>
        <v/>
      </c>
      <c r="BD379" s="60">
        <v>117</v>
      </c>
      <c r="BG379" s="60">
        <f t="shared" si="11"/>
        <v>101000</v>
      </c>
    </row>
    <row r="380" spans="55:59" hidden="1" x14ac:dyDescent="0.25">
      <c r="BC380" s="60" t="str">
        <f t="shared" si="10"/>
        <v/>
      </c>
      <c r="BD380" s="60">
        <v>118</v>
      </c>
      <c r="BG380" s="60">
        <f t="shared" si="11"/>
        <v>102000</v>
      </c>
    </row>
    <row r="381" spans="55:59" hidden="1" x14ac:dyDescent="0.25">
      <c r="BC381" s="60" t="str">
        <f t="shared" si="10"/>
        <v/>
      </c>
      <c r="BD381" s="60">
        <v>119</v>
      </c>
      <c r="BG381" s="60">
        <f t="shared" si="11"/>
        <v>103000</v>
      </c>
    </row>
    <row r="382" spans="55:59" hidden="1" x14ac:dyDescent="0.25">
      <c r="BC382" s="60" t="str">
        <f t="shared" si="10"/>
        <v/>
      </c>
      <c r="BD382" s="60">
        <v>120</v>
      </c>
      <c r="BG382" s="60">
        <f t="shared" si="11"/>
        <v>104000</v>
      </c>
    </row>
    <row r="383" spans="55:59" hidden="1" x14ac:dyDescent="0.25">
      <c r="BC383" s="60" t="str">
        <f t="shared" si="10"/>
        <v/>
      </c>
      <c r="BD383" s="60">
        <v>121</v>
      </c>
      <c r="BG383" s="60">
        <f t="shared" si="11"/>
        <v>105000</v>
      </c>
    </row>
    <row r="384" spans="55:59" hidden="1" x14ac:dyDescent="0.25">
      <c r="BC384" s="60" t="str">
        <f t="shared" si="10"/>
        <v/>
      </c>
      <c r="BD384" s="60">
        <v>122</v>
      </c>
      <c r="BG384" s="60">
        <f t="shared" si="11"/>
        <v>106000</v>
      </c>
    </row>
    <row r="385" spans="55:59" hidden="1" x14ac:dyDescent="0.25">
      <c r="BC385" s="60" t="str">
        <f t="shared" si="10"/>
        <v/>
      </c>
      <c r="BD385" s="60">
        <v>123</v>
      </c>
      <c r="BG385" s="60">
        <f t="shared" si="11"/>
        <v>107000</v>
      </c>
    </row>
    <row r="386" spans="55:59" hidden="1" x14ac:dyDescent="0.25">
      <c r="BC386" s="60" t="str">
        <f t="shared" si="10"/>
        <v/>
      </c>
      <c r="BD386" s="60">
        <v>124</v>
      </c>
      <c r="BG386" s="60">
        <f t="shared" si="11"/>
        <v>108000</v>
      </c>
    </row>
    <row r="387" spans="55:59" hidden="1" x14ac:dyDescent="0.25">
      <c r="BC387" s="60" t="str">
        <f t="shared" si="10"/>
        <v/>
      </c>
      <c r="BD387" s="60">
        <v>125</v>
      </c>
      <c r="BG387" s="60">
        <f t="shared" si="11"/>
        <v>109000</v>
      </c>
    </row>
    <row r="388" spans="55:59" hidden="1" x14ac:dyDescent="0.25">
      <c r="BC388" s="60" t="str">
        <f t="shared" si="10"/>
        <v/>
      </c>
      <c r="BD388" s="60">
        <v>126</v>
      </c>
      <c r="BG388" s="60">
        <f t="shared" si="11"/>
        <v>110000</v>
      </c>
    </row>
    <row r="389" spans="55:59" hidden="1" x14ac:dyDescent="0.25">
      <c r="BC389" s="60" t="str">
        <f t="shared" si="10"/>
        <v/>
      </c>
      <c r="BD389" s="60">
        <v>127</v>
      </c>
      <c r="BG389" s="60">
        <f t="shared" si="11"/>
        <v>111000</v>
      </c>
    </row>
    <row r="390" spans="55:59" hidden="1" x14ac:dyDescent="0.25">
      <c r="BC390" s="60" t="str">
        <f t="shared" si="10"/>
        <v/>
      </c>
      <c r="BD390" s="60">
        <v>128</v>
      </c>
      <c r="BG390" s="60">
        <f t="shared" si="11"/>
        <v>112000</v>
      </c>
    </row>
    <row r="391" spans="55:59" hidden="1" x14ac:dyDescent="0.25">
      <c r="BC391" s="60" t="str">
        <f t="shared" si="10"/>
        <v/>
      </c>
      <c r="BD391" s="60">
        <v>129</v>
      </c>
      <c r="BG391" s="60">
        <f t="shared" si="11"/>
        <v>113000</v>
      </c>
    </row>
    <row r="392" spans="55:59" hidden="1" x14ac:dyDescent="0.25">
      <c r="BC392" s="60" t="str">
        <f t="shared" si="10"/>
        <v/>
      </c>
      <c r="BD392" s="60">
        <v>130</v>
      </c>
      <c r="BG392" s="60">
        <f t="shared" si="11"/>
        <v>114000</v>
      </c>
    </row>
    <row r="393" spans="55:59" hidden="1" x14ac:dyDescent="0.25">
      <c r="BC393" s="60" t="str">
        <f t="shared" si="10"/>
        <v/>
      </c>
      <c r="BD393" s="60">
        <v>131</v>
      </c>
      <c r="BG393" s="60">
        <f t="shared" si="11"/>
        <v>115000</v>
      </c>
    </row>
    <row r="394" spans="55:59" hidden="1" x14ac:dyDescent="0.25">
      <c r="BC394" s="60" t="str">
        <f t="shared" si="10"/>
        <v/>
      </c>
      <c r="BD394" s="60">
        <v>132</v>
      </c>
      <c r="BG394" s="60">
        <f t="shared" si="11"/>
        <v>116000</v>
      </c>
    </row>
    <row r="395" spans="55:59" hidden="1" x14ac:dyDescent="0.25">
      <c r="BC395" s="60" t="str">
        <f t="shared" si="10"/>
        <v/>
      </c>
      <c r="BD395" s="60">
        <v>133</v>
      </c>
      <c r="BG395" s="60">
        <f t="shared" si="11"/>
        <v>117000</v>
      </c>
    </row>
    <row r="396" spans="55:59" hidden="1" x14ac:dyDescent="0.25">
      <c r="BC396" s="60" t="str">
        <f t="shared" si="10"/>
        <v/>
      </c>
      <c r="BD396" s="60">
        <v>134</v>
      </c>
      <c r="BG396" s="60">
        <f t="shared" si="11"/>
        <v>118000</v>
      </c>
    </row>
    <row r="397" spans="55:59" hidden="1" x14ac:dyDescent="0.25">
      <c r="BC397" s="60" t="str">
        <f t="shared" si="10"/>
        <v/>
      </c>
      <c r="BD397" s="60">
        <v>135</v>
      </c>
      <c r="BG397" s="60">
        <f t="shared" si="11"/>
        <v>119000</v>
      </c>
    </row>
    <row r="398" spans="55:59" hidden="1" x14ac:dyDescent="0.25">
      <c r="BC398" s="60" t="str">
        <f t="shared" si="10"/>
        <v/>
      </c>
      <c r="BD398" s="60">
        <v>136</v>
      </c>
      <c r="BG398" s="60">
        <f t="shared" si="11"/>
        <v>120000</v>
      </c>
    </row>
    <row r="399" spans="55:59" hidden="1" x14ac:dyDescent="0.25">
      <c r="BC399" s="60" t="str">
        <f t="shared" si="10"/>
        <v/>
      </c>
      <c r="BD399" s="60">
        <v>137</v>
      </c>
      <c r="BG399" s="60">
        <f t="shared" si="11"/>
        <v>121000</v>
      </c>
    </row>
    <row r="400" spans="55:59" hidden="1" x14ac:dyDescent="0.25">
      <c r="BC400" s="60" t="str">
        <f t="shared" si="10"/>
        <v/>
      </c>
      <c r="BD400" s="60">
        <v>138</v>
      </c>
      <c r="BG400" s="60">
        <f t="shared" si="11"/>
        <v>122000</v>
      </c>
    </row>
    <row r="401" spans="55:59" hidden="1" x14ac:dyDescent="0.25">
      <c r="BC401" s="60" t="str">
        <f t="shared" si="10"/>
        <v/>
      </c>
      <c r="BD401" s="60">
        <v>139</v>
      </c>
      <c r="BG401" s="60">
        <f t="shared" si="11"/>
        <v>123000</v>
      </c>
    </row>
    <row r="402" spans="55:59" hidden="1" x14ac:dyDescent="0.25">
      <c r="BC402" s="60" t="str">
        <f t="shared" si="10"/>
        <v/>
      </c>
      <c r="BD402" s="60">
        <v>140</v>
      </c>
      <c r="BG402" s="60">
        <f t="shared" si="11"/>
        <v>124000</v>
      </c>
    </row>
    <row r="403" spans="55:59" hidden="1" x14ac:dyDescent="0.25">
      <c r="BC403" s="60" t="str">
        <f t="shared" si="10"/>
        <v/>
      </c>
      <c r="BD403" s="60">
        <v>141</v>
      </c>
      <c r="BG403" s="60">
        <f t="shared" si="11"/>
        <v>125000</v>
      </c>
    </row>
    <row r="404" spans="55:59" hidden="1" x14ac:dyDescent="0.25">
      <c r="BC404" s="60" t="str">
        <f t="shared" si="10"/>
        <v/>
      </c>
      <c r="BD404" s="60">
        <v>142</v>
      </c>
      <c r="BG404" s="60">
        <f t="shared" si="11"/>
        <v>126000</v>
      </c>
    </row>
    <row r="405" spans="55:59" hidden="1" x14ac:dyDescent="0.25">
      <c r="BC405" s="60" t="str">
        <f t="shared" si="10"/>
        <v/>
      </c>
      <c r="BD405" s="60">
        <v>143</v>
      </c>
      <c r="BG405" s="60">
        <f t="shared" si="11"/>
        <v>127000</v>
      </c>
    </row>
    <row r="406" spans="55:59" hidden="1" x14ac:dyDescent="0.25">
      <c r="BC406" s="60" t="str">
        <f t="shared" si="10"/>
        <v/>
      </c>
      <c r="BD406" s="60">
        <v>144</v>
      </c>
      <c r="BG406" s="60">
        <f t="shared" si="11"/>
        <v>128000</v>
      </c>
    </row>
    <row r="407" spans="55:59" hidden="1" x14ac:dyDescent="0.25">
      <c r="BC407" s="60" t="str">
        <f t="shared" si="10"/>
        <v/>
      </c>
      <c r="BD407" s="60">
        <v>145</v>
      </c>
      <c r="BG407" s="60">
        <f t="shared" si="11"/>
        <v>129000</v>
      </c>
    </row>
    <row r="408" spans="55:59" hidden="1" x14ac:dyDescent="0.25">
      <c r="BC408" s="60" t="str">
        <f t="shared" si="10"/>
        <v/>
      </c>
      <c r="BD408" s="60">
        <v>146</v>
      </c>
      <c r="BG408" s="60">
        <f t="shared" si="11"/>
        <v>130000</v>
      </c>
    </row>
    <row r="409" spans="55:59" hidden="1" x14ac:dyDescent="0.25">
      <c r="BC409" s="60" t="str">
        <f t="shared" ref="BC409:BC472" si="12">IF(BC408&lt;&gt;"", IF(BC408&lt;$AQ$319, BC408+1, ""), "")</f>
        <v/>
      </c>
      <c r="BD409" s="60">
        <v>147</v>
      </c>
      <c r="BG409" s="60">
        <f t="shared" ref="BG409:BG472" si="13">IF(BG408 &lt;&gt; "", IF(BG408+$AT$321 &lt;= $AR$322, BG408+$AT$321, ""), "")</f>
        <v>131000</v>
      </c>
    </row>
    <row r="410" spans="55:59" hidden="1" x14ac:dyDescent="0.25">
      <c r="BC410" s="60" t="str">
        <f t="shared" si="12"/>
        <v/>
      </c>
      <c r="BD410" s="60">
        <v>148</v>
      </c>
      <c r="BG410" s="60">
        <f t="shared" si="13"/>
        <v>132000</v>
      </c>
    </row>
    <row r="411" spans="55:59" hidden="1" x14ac:dyDescent="0.25">
      <c r="BC411" s="60" t="str">
        <f t="shared" si="12"/>
        <v/>
      </c>
      <c r="BD411" s="60">
        <v>149</v>
      </c>
      <c r="BG411" s="60">
        <f t="shared" si="13"/>
        <v>133000</v>
      </c>
    </row>
    <row r="412" spans="55:59" hidden="1" x14ac:dyDescent="0.25">
      <c r="BC412" s="60" t="str">
        <f t="shared" si="12"/>
        <v/>
      </c>
      <c r="BD412" s="60">
        <v>150</v>
      </c>
      <c r="BG412" s="60">
        <f t="shared" si="13"/>
        <v>134000</v>
      </c>
    </row>
    <row r="413" spans="55:59" hidden="1" x14ac:dyDescent="0.25">
      <c r="BC413" s="60" t="str">
        <f t="shared" si="12"/>
        <v/>
      </c>
      <c r="BD413" s="60">
        <v>151</v>
      </c>
      <c r="BG413" s="60">
        <f t="shared" si="13"/>
        <v>135000</v>
      </c>
    </row>
    <row r="414" spans="55:59" hidden="1" x14ac:dyDescent="0.25">
      <c r="BC414" s="60" t="str">
        <f t="shared" si="12"/>
        <v/>
      </c>
      <c r="BD414" s="60">
        <v>152</v>
      </c>
      <c r="BG414" s="60">
        <f t="shared" si="13"/>
        <v>136000</v>
      </c>
    </row>
    <row r="415" spans="55:59" hidden="1" x14ac:dyDescent="0.25">
      <c r="BC415" s="60" t="str">
        <f t="shared" si="12"/>
        <v/>
      </c>
      <c r="BD415" s="60">
        <v>153</v>
      </c>
      <c r="BG415" s="60">
        <f t="shared" si="13"/>
        <v>137000</v>
      </c>
    </row>
    <row r="416" spans="55:59" hidden="1" x14ac:dyDescent="0.25">
      <c r="BC416" s="60" t="str">
        <f t="shared" si="12"/>
        <v/>
      </c>
      <c r="BD416" s="60">
        <v>154</v>
      </c>
      <c r="BG416" s="60">
        <f t="shared" si="13"/>
        <v>138000</v>
      </c>
    </row>
    <row r="417" spans="55:59" hidden="1" x14ac:dyDescent="0.25">
      <c r="BC417" s="60" t="str">
        <f t="shared" si="12"/>
        <v/>
      </c>
      <c r="BD417" s="60">
        <v>155</v>
      </c>
      <c r="BG417" s="60">
        <f t="shared" si="13"/>
        <v>139000</v>
      </c>
    </row>
    <row r="418" spans="55:59" hidden="1" x14ac:dyDescent="0.25">
      <c r="BC418" s="60" t="str">
        <f t="shared" si="12"/>
        <v/>
      </c>
      <c r="BD418" s="60">
        <v>156</v>
      </c>
      <c r="BG418" s="60">
        <f t="shared" si="13"/>
        <v>140000</v>
      </c>
    </row>
    <row r="419" spans="55:59" hidden="1" x14ac:dyDescent="0.25">
      <c r="BC419" s="60" t="str">
        <f t="shared" si="12"/>
        <v/>
      </c>
      <c r="BD419" s="60">
        <v>157</v>
      </c>
      <c r="BG419" s="60">
        <f t="shared" si="13"/>
        <v>141000</v>
      </c>
    </row>
    <row r="420" spans="55:59" hidden="1" x14ac:dyDescent="0.25">
      <c r="BC420" s="60" t="str">
        <f t="shared" si="12"/>
        <v/>
      </c>
      <c r="BD420" s="60">
        <v>158</v>
      </c>
      <c r="BG420" s="60">
        <f t="shared" si="13"/>
        <v>142000</v>
      </c>
    </row>
    <row r="421" spans="55:59" hidden="1" x14ac:dyDescent="0.25">
      <c r="BC421" s="60" t="str">
        <f t="shared" si="12"/>
        <v/>
      </c>
      <c r="BD421" s="60">
        <v>159</v>
      </c>
      <c r="BG421" s="60">
        <f t="shared" si="13"/>
        <v>143000</v>
      </c>
    </row>
    <row r="422" spans="55:59" hidden="1" x14ac:dyDescent="0.25">
      <c r="BC422" s="60" t="str">
        <f t="shared" si="12"/>
        <v/>
      </c>
      <c r="BD422" s="60">
        <v>160</v>
      </c>
      <c r="BG422" s="60">
        <f t="shared" si="13"/>
        <v>144000</v>
      </c>
    </row>
    <row r="423" spans="55:59" hidden="1" x14ac:dyDescent="0.25">
      <c r="BC423" s="60" t="str">
        <f t="shared" si="12"/>
        <v/>
      </c>
      <c r="BD423" s="60">
        <v>161</v>
      </c>
      <c r="BG423" s="60">
        <f t="shared" si="13"/>
        <v>145000</v>
      </c>
    </row>
    <row r="424" spans="55:59" hidden="1" x14ac:dyDescent="0.25">
      <c r="BC424" s="60" t="str">
        <f t="shared" si="12"/>
        <v/>
      </c>
      <c r="BD424" s="60">
        <v>162</v>
      </c>
      <c r="BG424" s="60">
        <f t="shared" si="13"/>
        <v>146000</v>
      </c>
    </row>
    <row r="425" spans="55:59" hidden="1" x14ac:dyDescent="0.25">
      <c r="BC425" s="60" t="str">
        <f t="shared" si="12"/>
        <v/>
      </c>
      <c r="BD425" s="60">
        <v>163</v>
      </c>
      <c r="BG425" s="60">
        <f t="shared" si="13"/>
        <v>147000</v>
      </c>
    </row>
    <row r="426" spans="55:59" hidden="1" x14ac:dyDescent="0.25">
      <c r="BC426" s="60" t="str">
        <f t="shared" si="12"/>
        <v/>
      </c>
      <c r="BD426" s="60">
        <v>164</v>
      </c>
      <c r="BG426" s="60">
        <f t="shared" si="13"/>
        <v>148000</v>
      </c>
    </row>
    <row r="427" spans="55:59" hidden="1" x14ac:dyDescent="0.25">
      <c r="BC427" s="60" t="str">
        <f t="shared" si="12"/>
        <v/>
      </c>
      <c r="BD427" s="60">
        <v>165</v>
      </c>
      <c r="BG427" s="60">
        <f t="shared" si="13"/>
        <v>149000</v>
      </c>
    </row>
    <row r="428" spans="55:59" hidden="1" x14ac:dyDescent="0.25">
      <c r="BC428" s="60" t="str">
        <f t="shared" si="12"/>
        <v/>
      </c>
      <c r="BD428" s="60">
        <v>166</v>
      </c>
      <c r="BG428" s="60">
        <f t="shared" si="13"/>
        <v>150000</v>
      </c>
    </row>
    <row r="429" spans="55:59" hidden="1" x14ac:dyDescent="0.25">
      <c r="BC429" s="60" t="str">
        <f t="shared" si="12"/>
        <v/>
      </c>
      <c r="BD429" s="60">
        <v>167</v>
      </c>
      <c r="BG429" s="60">
        <f t="shared" si="13"/>
        <v>151000</v>
      </c>
    </row>
    <row r="430" spans="55:59" hidden="1" x14ac:dyDescent="0.25">
      <c r="BC430" s="60" t="str">
        <f t="shared" si="12"/>
        <v/>
      </c>
      <c r="BD430" s="60">
        <v>168</v>
      </c>
      <c r="BG430" s="60">
        <f t="shared" si="13"/>
        <v>152000</v>
      </c>
    </row>
    <row r="431" spans="55:59" hidden="1" x14ac:dyDescent="0.25">
      <c r="BC431" s="60" t="str">
        <f t="shared" si="12"/>
        <v/>
      </c>
      <c r="BD431" s="60">
        <v>169</v>
      </c>
      <c r="BG431" s="60">
        <f t="shared" si="13"/>
        <v>153000</v>
      </c>
    </row>
    <row r="432" spans="55:59" hidden="1" x14ac:dyDescent="0.25">
      <c r="BC432" s="60" t="str">
        <f t="shared" si="12"/>
        <v/>
      </c>
      <c r="BD432" s="60">
        <v>170</v>
      </c>
      <c r="BG432" s="60">
        <f t="shared" si="13"/>
        <v>154000</v>
      </c>
    </row>
    <row r="433" spans="55:59" hidden="1" x14ac:dyDescent="0.25">
      <c r="BC433" s="60" t="str">
        <f t="shared" si="12"/>
        <v/>
      </c>
      <c r="BD433" s="60">
        <v>171</v>
      </c>
      <c r="BG433" s="60">
        <f t="shared" si="13"/>
        <v>155000</v>
      </c>
    </row>
    <row r="434" spans="55:59" hidden="1" x14ac:dyDescent="0.25">
      <c r="BC434" s="60" t="str">
        <f t="shared" si="12"/>
        <v/>
      </c>
      <c r="BD434" s="60">
        <v>172</v>
      </c>
      <c r="BG434" s="60">
        <f t="shared" si="13"/>
        <v>156000</v>
      </c>
    </row>
    <row r="435" spans="55:59" hidden="1" x14ac:dyDescent="0.25">
      <c r="BC435" s="60" t="str">
        <f t="shared" si="12"/>
        <v/>
      </c>
      <c r="BD435" s="60">
        <v>173</v>
      </c>
      <c r="BG435" s="60">
        <f t="shared" si="13"/>
        <v>157000</v>
      </c>
    </row>
    <row r="436" spans="55:59" hidden="1" x14ac:dyDescent="0.25">
      <c r="BC436" s="60" t="str">
        <f t="shared" si="12"/>
        <v/>
      </c>
      <c r="BD436" s="60">
        <v>174</v>
      </c>
      <c r="BG436" s="60">
        <f t="shared" si="13"/>
        <v>158000</v>
      </c>
    </row>
    <row r="437" spans="55:59" hidden="1" x14ac:dyDescent="0.25">
      <c r="BC437" s="60" t="str">
        <f t="shared" si="12"/>
        <v/>
      </c>
      <c r="BD437" s="60">
        <v>175</v>
      </c>
      <c r="BG437" s="60">
        <f t="shared" si="13"/>
        <v>159000</v>
      </c>
    </row>
    <row r="438" spans="55:59" hidden="1" x14ac:dyDescent="0.25">
      <c r="BC438" s="60" t="str">
        <f t="shared" si="12"/>
        <v/>
      </c>
      <c r="BD438" s="60">
        <v>176</v>
      </c>
      <c r="BG438" s="60">
        <f t="shared" si="13"/>
        <v>160000</v>
      </c>
    </row>
    <row r="439" spans="55:59" hidden="1" x14ac:dyDescent="0.25">
      <c r="BC439" s="60" t="str">
        <f t="shared" si="12"/>
        <v/>
      </c>
      <c r="BD439" s="60">
        <v>177</v>
      </c>
      <c r="BG439" s="60">
        <f t="shared" si="13"/>
        <v>161000</v>
      </c>
    </row>
    <row r="440" spans="55:59" hidden="1" x14ac:dyDescent="0.25">
      <c r="BC440" s="60" t="str">
        <f t="shared" si="12"/>
        <v/>
      </c>
      <c r="BD440" s="60">
        <v>178</v>
      </c>
      <c r="BG440" s="60">
        <f t="shared" si="13"/>
        <v>162000</v>
      </c>
    </row>
    <row r="441" spans="55:59" hidden="1" x14ac:dyDescent="0.25">
      <c r="BC441" s="60" t="str">
        <f t="shared" si="12"/>
        <v/>
      </c>
      <c r="BD441" s="60">
        <v>179</v>
      </c>
      <c r="BG441" s="60">
        <f t="shared" si="13"/>
        <v>163000</v>
      </c>
    </row>
    <row r="442" spans="55:59" hidden="1" x14ac:dyDescent="0.25">
      <c r="BC442" s="60" t="str">
        <f t="shared" si="12"/>
        <v/>
      </c>
      <c r="BD442" s="60">
        <v>180</v>
      </c>
      <c r="BG442" s="60">
        <f t="shared" si="13"/>
        <v>164000</v>
      </c>
    </row>
    <row r="443" spans="55:59" hidden="1" x14ac:dyDescent="0.25">
      <c r="BC443" s="60" t="str">
        <f t="shared" si="12"/>
        <v/>
      </c>
      <c r="BD443" s="60">
        <v>181</v>
      </c>
      <c r="BG443" s="60">
        <f t="shared" si="13"/>
        <v>165000</v>
      </c>
    </row>
    <row r="444" spans="55:59" hidden="1" x14ac:dyDescent="0.25">
      <c r="BC444" s="60" t="str">
        <f t="shared" si="12"/>
        <v/>
      </c>
      <c r="BD444" s="60">
        <v>182</v>
      </c>
      <c r="BG444" s="60">
        <f t="shared" si="13"/>
        <v>166000</v>
      </c>
    </row>
    <row r="445" spans="55:59" hidden="1" x14ac:dyDescent="0.25">
      <c r="BC445" s="60" t="str">
        <f t="shared" si="12"/>
        <v/>
      </c>
      <c r="BD445" s="60">
        <v>183</v>
      </c>
      <c r="BG445" s="60">
        <f t="shared" si="13"/>
        <v>167000</v>
      </c>
    </row>
    <row r="446" spans="55:59" hidden="1" x14ac:dyDescent="0.25">
      <c r="BC446" s="60" t="str">
        <f t="shared" si="12"/>
        <v/>
      </c>
      <c r="BD446" s="60">
        <v>184</v>
      </c>
      <c r="BG446" s="60">
        <f t="shared" si="13"/>
        <v>168000</v>
      </c>
    </row>
    <row r="447" spans="55:59" hidden="1" x14ac:dyDescent="0.25">
      <c r="BC447" s="60" t="str">
        <f t="shared" si="12"/>
        <v/>
      </c>
      <c r="BD447" s="60">
        <v>185</v>
      </c>
      <c r="BG447" s="60">
        <f t="shared" si="13"/>
        <v>169000</v>
      </c>
    </row>
    <row r="448" spans="55:59" hidden="1" x14ac:dyDescent="0.25">
      <c r="BC448" s="60" t="str">
        <f t="shared" si="12"/>
        <v/>
      </c>
      <c r="BD448" s="60">
        <v>186</v>
      </c>
      <c r="BG448" s="60">
        <f t="shared" si="13"/>
        <v>170000</v>
      </c>
    </row>
    <row r="449" spans="55:59" hidden="1" x14ac:dyDescent="0.25">
      <c r="BC449" s="60" t="str">
        <f t="shared" si="12"/>
        <v/>
      </c>
      <c r="BD449" s="60">
        <v>187</v>
      </c>
      <c r="BG449" s="60">
        <f t="shared" si="13"/>
        <v>171000</v>
      </c>
    </row>
    <row r="450" spans="55:59" hidden="1" x14ac:dyDescent="0.25">
      <c r="BC450" s="60" t="str">
        <f t="shared" si="12"/>
        <v/>
      </c>
      <c r="BD450" s="60">
        <v>188</v>
      </c>
      <c r="BG450" s="60">
        <f t="shared" si="13"/>
        <v>172000</v>
      </c>
    </row>
    <row r="451" spans="55:59" hidden="1" x14ac:dyDescent="0.25">
      <c r="BC451" s="60" t="str">
        <f t="shared" si="12"/>
        <v/>
      </c>
      <c r="BD451" s="60">
        <v>189</v>
      </c>
      <c r="BG451" s="60">
        <f t="shared" si="13"/>
        <v>173000</v>
      </c>
    </row>
    <row r="452" spans="55:59" hidden="1" x14ac:dyDescent="0.25">
      <c r="BC452" s="60" t="str">
        <f t="shared" si="12"/>
        <v/>
      </c>
      <c r="BD452" s="60">
        <v>190</v>
      </c>
      <c r="BG452" s="60">
        <f t="shared" si="13"/>
        <v>174000</v>
      </c>
    </row>
    <row r="453" spans="55:59" hidden="1" x14ac:dyDescent="0.25">
      <c r="BC453" s="60" t="str">
        <f t="shared" si="12"/>
        <v/>
      </c>
      <c r="BD453" s="60">
        <v>191</v>
      </c>
      <c r="BG453" s="60">
        <f t="shared" si="13"/>
        <v>175000</v>
      </c>
    </row>
    <row r="454" spans="55:59" hidden="1" x14ac:dyDescent="0.25">
      <c r="BC454" s="60" t="str">
        <f t="shared" si="12"/>
        <v/>
      </c>
      <c r="BD454" s="60">
        <v>192</v>
      </c>
      <c r="BG454" s="60">
        <f t="shared" si="13"/>
        <v>176000</v>
      </c>
    </row>
    <row r="455" spans="55:59" hidden="1" x14ac:dyDescent="0.25">
      <c r="BC455" s="60" t="str">
        <f t="shared" si="12"/>
        <v/>
      </c>
      <c r="BD455" s="60">
        <v>193</v>
      </c>
      <c r="BG455" s="60">
        <f t="shared" si="13"/>
        <v>177000</v>
      </c>
    </row>
    <row r="456" spans="55:59" hidden="1" x14ac:dyDescent="0.25">
      <c r="BC456" s="60" t="str">
        <f t="shared" si="12"/>
        <v/>
      </c>
      <c r="BD456" s="60">
        <v>194</v>
      </c>
      <c r="BG456" s="60">
        <f t="shared" si="13"/>
        <v>178000</v>
      </c>
    </row>
    <row r="457" spans="55:59" hidden="1" x14ac:dyDescent="0.25">
      <c r="BC457" s="60" t="str">
        <f t="shared" si="12"/>
        <v/>
      </c>
      <c r="BD457" s="60">
        <v>195</v>
      </c>
      <c r="BG457" s="60">
        <f t="shared" si="13"/>
        <v>179000</v>
      </c>
    </row>
    <row r="458" spans="55:59" hidden="1" x14ac:dyDescent="0.25">
      <c r="BC458" s="60" t="str">
        <f t="shared" si="12"/>
        <v/>
      </c>
      <c r="BD458" s="60">
        <v>196</v>
      </c>
      <c r="BG458" s="60">
        <f t="shared" si="13"/>
        <v>180000</v>
      </c>
    </row>
    <row r="459" spans="55:59" hidden="1" x14ac:dyDescent="0.25">
      <c r="BC459" s="60" t="str">
        <f t="shared" si="12"/>
        <v/>
      </c>
      <c r="BD459" s="60">
        <v>197</v>
      </c>
      <c r="BG459" s="60">
        <f t="shared" si="13"/>
        <v>181000</v>
      </c>
    </row>
    <row r="460" spans="55:59" hidden="1" x14ac:dyDescent="0.25">
      <c r="BC460" s="60" t="str">
        <f t="shared" si="12"/>
        <v/>
      </c>
      <c r="BD460" s="60">
        <v>198</v>
      </c>
      <c r="BG460" s="60">
        <f t="shared" si="13"/>
        <v>182000</v>
      </c>
    </row>
    <row r="461" spans="55:59" hidden="1" x14ac:dyDescent="0.25">
      <c r="BC461" s="60" t="str">
        <f t="shared" si="12"/>
        <v/>
      </c>
      <c r="BD461" s="60">
        <v>199</v>
      </c>
      <c r="BG461" s="60">
        <f t="shared" si="13"/>
        <v>183000</v>
      </c>
    </row>
    <row r="462" spans="55:59" hidden="1" x14ac:dyDescent="0.25">
      <c r="BC462" s="60" t="str">
        <f t="shared" si="12"/>
        <v/>
      </c>
      <c r="BD462" s="60">
        <v>200</v>
      </c>
      <c r="BG462" s="60">
        <f t="shared" si="13"/>
        <v>184000</v>
      </c>
    </row>
    <row r="463" spans="55:59" hidden="1" x14ac:dyDescent="0.25">
      <c r="BC463" s="60" t="str">
        <f t="shared" si="12"/>
        <v/>
      </c>
      <c r="BD463" s="60">
        <v>201</v>
      </c>
      <c r="BG463" s="60">
        <f t="shared" si="13"/>
        <v>185000</v>
      </c>
    </row>
    <row r="464" spans="55:59" hidden="1" x14ac:dyDescent="0.25">
      <c r="BC464" s="60" t="str">
        <f t="shared" si="12"/>
        <v/>
      </c>
      <c r="BD464" s="60">
        <v>202</v>
      </c>
      <c r="BG464" s="60">
        <f t="shared" si="13"/>
        <v>186000</v>
      </c>
    </row>
    <row r="465" spans="55:59" hidden="1" x14ac:dyDescent="0.25">
      <c r="BC465" s="60" t="str">
        <f t="shared" si="12"/>
        <v/>
      </c>
      <c r="BD465" s="60">
        <v>203</v>
      </c>
      <c r="BG465" s="60">
        <f t="shared" si="13"/>
        <v>187000</v>
      </c>
    </row>
    <row r="466" spans="55:59" hidden="1" x14ac:dyDescent="0.25">
      <c r="BC466" s="60" t="str">
        <f t="shared" si="12"/>
        <v/>
      </c>
      <c r="BD466" s="60">
        <v>204</v>
      </c>
      <c r="BG466" s="60">
        <f t="shared" si="13"/>
        <v>188000</v>
      </c>
    </row>
    <row r="467" spans="55:59" hidden="1" x14ac:dyDescent="0.25">
      <c r="BC467" s="60" t="str">
        <f t="shared" si="12"/>
        <v/>
      </c>
      <c r="BD467" s="60">
        <v>205</v>
      </c>
      <c r="BG467" s="60">
        <f t="shared" si="13"/>
        <v>189000</v>
      </c>
    </row>
    <row r="468" spans="55:59" hidden="1" x14ac:dyDescent="0.25">
      <c r="BC468" s="60" t="str">
        <f t="shared" si="12"/>
        <v/>
      </c>
      <c r="BD468" s="60">
        <v>206</v>
      </c>
      <c r="BG468" s="60">
        <f t="shared" si="13"/>
        <v>190000</v>
      </c>
    </row>
    <row r="469" spans="55:59" hidden="1" x14ac:dyDescent="0.25">
      <c r="BC469" s="60" t="str">
        <f t="shared" si="12"/>
        <v/>
      </c>
      <c r="BD469" s="60">
        <v>207</v>
      </c>
      <c r="BG469" s="60">
        <f t="shared" si="13"/>
        <v>191000</v>
      </c>
    </row>
    <row r="470" spans="55:59" hidden="1" x14ac:dyDescent="0.25">
      <c r="BC470" s="60" t="str">
        <f t="shared" si="12"/>
        <v/>
      </c>
      <c r="BD470" s="60">
        <v>208</v>
      </c>
      <c r="BG470" s="60">
        <f t="shared" si="13"/>
        <v>192000</v>
      </c>
    </row>
    <row r="471" spans="55:59" hidden="1" x14ac:dyDescent="0.25">
      <c r="BC471" s="60" t="str">
        <f t="shared" si="12"/>
        <v/>
      </c>
      <c r="BD471" s="60">
        <v>209</v>
      </c>
      <c r="BG471" s="60">
        <f t="shared" si="13"/>
        <v>193000</v>
      </c>
    </row>
    <row r="472" spans="55:59" hidden="1" x14ac:dyDescent="0.25">
      <c r="BC472" s="60" t="str">
        <f t="shared" si="12"/>
        <v/>
      </c>
      <c r="BD472" s="60">
        <v>210</v>
      </c>
      <c r="BG472" s="60">
        <f t="shared" si="13"/>
        <v>194000</v>
      </c>
    </row>
    <row r="473" spans="55:59" hidden="1" x14ac:dyDescent="0.25">
      <c r="BC473" s="60" t="str">
        <f t="shared" ref="BC473:BC536" si="14">IF(BC472&lt;&gt;"", IF(BC472&lt;$AQ$319, BC472+1, ""), "")</f>
        <v/>
      </c>
      <c r="BD473" s="60">
        <v>211</v>
      </c>
      <c r="BG473" s="60">
        <f t="shared" ref="BG473:BG536" si="15">IF(BG472 &lt;&gt; "", IF(BG472+$AT$321 &lt;= $AR$322, BG472+$AT$321, ""), "")</f>
        <v>195000</v>
      </c>
    </row>
    <row r="474" spans="55:59" hidden="1" x14ac:dyDescent="0.25">
      <c r="BC474" s="60" t="str">
        <f t="shared" si="14"/>
        <v/>
      </c>
      <c r="BD474" s="60">
        <v>212</v>
      </c>
      <c r="BG474" s="60">
        <f t="shared" si="15"/>
        <v>196000</v>
      </c>
    </row>
    <row r="475" spans="55:59" hidden="1" x14ac:dyDescent="0.25">
      <c r="BC475" s="60" t="str">
        <f t="shared" si="14"/>
        <v/>
      </c>
      <c r="BD475" s="60">
        <v>213</v>
      </c>
      <c r="BG475" s="60">
        <f t="shared" si="15"/>
        <v>197000</v>
      </c>
    </row>
    <row r="476" spans="55:59" hidden="1" x14ac:dyDescent="0.25">
      <c r="BC476" s="60" t="str">
        <f t="shared" si="14"/>
        <v/>
      </c>
      <c r="BD476" s="60">
        <v>214</v>
      </c>
      <c r="BG476" s="60">
        <f t="shared" si="15"/>
        <v>198000</v>
      </c>
    </row>
    <row r="477" spans="55:59" hidden="1" x14ac:dyDescent="0.25">
      <c r="BC477" s="60" t="str">
        <f t="shared" si="14"/>
        <v/>
      </c>
      <c r="BD477" s="60">
        <v>215</v>
      </c>
      <c r="BG477" s="60">
        <f t="shared" si="15"/>
        <v>199000</v>
      </c>
    </row>
    <row r="478" spans="55:59" hidden="1" x14ac:dyDescent="0.25">
      <c r="BC478" s="60" t="str">
        <f t="shared" si="14"/>
        <v/>
      </c>
      <c r="BD478" s="60">
        <v>216</v>
      </c>
      <c r="BG478" s="60">
        <f t="shared" si="15"/>
        <v>200000</v>
      </c>
    </row>
    <row r="479" spans="55:59" hidden="1" x14ac:dyDescent="0.25">
      <c r="BC479" s="60" t="str">
        <f t="shared" si="14"/>
        <v/>
      </c>
      <c r="BD479" s="60">
        <v>217</v>
      </c>
      <c r="BG479" s="60" t="str">
        <f t="shared" si="15"/>
        <v/>
      </c>
    </row>
    <row r="480" spans="55:59" hidden="1" x14ac:dyDescent="0.25">
      <c r="BC480" s="60" t="str">
        <f t="shared" si="14"/>
        <v/>
      </c>
      <c r="BD480" s="60">
        <v>218</v>
      </c>
      <c r="BG480" s="60" t="str">
        <f t="shared" si="15"/>
        <v/>
      </c>
    </row>
    <row r="481" spans="55:59" hidden="1" x14ac:dyDescent="0.25">
      <c r="BC481" s="60" t="str">
        <f t="shared" si="14"/>
        <v/>
      </c>
      <c r="BD481" s="60">
        <v>219</v>
      </c>
      <c r="BG481" s="60" t="str">
        <f t="shared" si="15"/>
        <v/>
      </c>
    </row>
    <row r="482" spans="55:59" hidden="1" x14ac:dyDescent="0.25">
      <c r="BC482" s="60" t="str">
        <f t="shared" si="14"/>
        <v/>
      </c>
      <c r="BD482" s="60">
        <v>220</v>
      </c>
      <c r="BG482" s="60" t="str">
        <f t="shared" si="15"/>
        <v/>
      </c>
    </row>
    <row r="483" spans="55:59" hidden="1" x14ac:dyDescent="0.25">
      <c r="BC483" s="60" t="str">
        <f t="shared" si="14"/>
        <v/>
      </c>
      <c r="BD483" s="60">
        <v>221</v>
      </c>
      <c r="BG483" s="60" t="str">
        <f t="shared" si="15"/>
        <v/>
      </c>
    </row>
    <row r="484" spans="55:59" hidden="1" x14ac:dyDescent="0.25">
      <c r="BC484" s="60" t="str">
        <f t="shared" si="14"/>
        <v/>
      </c>
      <c r="BD484" s="60">
        <v>222</v>
      </c>
      <c r="BG484" s="60" t="str">
        <f t="shared" si="15"/>
        <v/>
      </c>
    </row>
    <row r="485" spans="55:59" hidden="1" x14ac:dyDescent="0.25">
      <c r="BC485" s="60" t="str">
        <f t="shared" si="14"/>
        <v/>
      </c>
      <c r="BD485" s="60">
        <v>223</v>
      </c>
      <c r="BG485" s="60" t="str">
        <f t="shared" si="15"/>
        <v/>
      </c>
    </row>
    <row r="486" spans="55:59" hidden="1" x14ac:dyDescent="0.25">
      <c r="BC486" s="60" t="str">
        <f t="shared" si="14"/>
        <v/>
      </c>
      <c r="BD486" s="60">
        <v>224</v>
      </c>
      <c r="BG486" s="60" t="str">
        <f t="shared" si="15"/>
        <v/>
      </c>
    </row>
    <row r="487" spans="55:59" hidden="1" x14ac:dyDescent="0.25">
      <c r="BC487" s="60" t="str">
        <f t="shared" si="14"/>
        <v/>
      </c>
      <c r="BD487" s="60">
        <v>225</v>
      </c>
      <c r="BG487" s="60" t="str">
        <f t="shared" si="15"/>
        <v/>
      </c>
    </row>
    <row r="488" spans="55:59" hidden="1" x14ac:dyDescent="0.25">
      <c r="BC488" s="60" t="str">
        <f t="shared" si="14"/>
        <v/>
      </c>
      <c r="BD488" s="60">
        <v>226</v>
      </c>
      <c r="BG488" s="60" t="str">
        <f t="shared" si="15"/>
        <v/>
      </c>
    </row>
    <row r="489" spans="55:59" hidden="1" x14ac:dyDescent="0.25">
      <c r="BC489" s="60" t="str">
        <f t="shared" si="14"/>
        <v/>
      </c>
      <c r="BD489" s="60">
        <v>227</v>
      </c>
      <c r="BG489" s="60" t="str">
        <f t="shared" si="15"/>
        <v/>
      </c>
    </row>
    <row r="490" spans="55:59" hidden="1" x14ac:dyDescent="0.25">
      <c r="BC490" s="60" t="str">
        <f t="shared" si="14"/>
        <v/>
      </c>
      <c r="BD490" s="60">
        <v>228</v>
      </c>
      <c r="BG490" s="60" t="str">
        <f t="shared" si="15"/>
        <v/>
      </c>
    </row>
    <row r="491" spans="55:59" hidden="1" x14ac:dyDescent="0.25">
      <c r="BC491" s="60" t="str">
        <f t="shared" si="14"/>
        <v/>
      </c>
      <c r="BD491" s="60">
        <v>229</v>
      </c>
      <c r="BG491" s="60" t="str">
        <f t="shared" si="15"/>
        <v/>
      </c>
    </row>
    <row r="492" spans="55:59" hidden="1" x14ac:dyDescent="0.25">
      <c r="BC492" s="60" t="str">
        <f t="shared" si="14"/>
        <v/>
      </c>
      <c r="BD492" s="60">
        <v>230</v>
      </c>
      <c r="BG492" s="60" t="str">
        <f t="shared" si="15"/>
        <v/>
      </c>
    </row>
    <row r="493" spans="55:59" hidden="1" x14ac:dyDescent="0.25">
      <c r="BC493" s="60" t="str">
        <f t="shared" si="14"/>
        <v/>
      </c>
      <c r="BD493" s="60">
        <v>231</v>
      </c>
      <c r="BG493" s="60" t="str">
        <f t="shared" si="15"/>
        <v/>
      </c>
    </row>
    <row r="494" spans="55:59" hidden="1" x14ac:dyDescent="0.25">
      <c r="BC494" s="60" t="str">
        <f t="shared" si="14"/>
        <v/>
      </c>
      <c r="BD494" s="60">
        <v>232</v>
      </c>
      <c r="BG494" s="60" t="str">
        <f t="shared" si="15"/>
        <v/>
      </c>
    </row>
    <row r="495" spans="55:59" hidden="1" x14ac:dyDescent="0.25">
      <c r="BC495" s="60" t="str">
        <f t="shared" si="14"/>
        <v/>
      </c>
      <c r="BD495" s="60">
        <v>233</v>
      </c>
      <c r="BG495" s="60" t="str">
        <f t="shared" si="15"/>
        <v/>
      </c>
    </row>
    <row r="496" spans="55:59" hidden="1" x14ac:dyDescent="0.25">
      <c r="BC496" s="60" t="str">
        <f t="shared" si="14"/>
        <v/>
      </c>
      <c r="BD496" s="60">
        <v>234</v>
      </c>
      <c r="BG496" s="60" t="str">
        <f t="shared" si="15"/>
        <v/>
      </c>
    </row>
    <row r="497" spans="55:59" hidden="1" x14ac:dyDescent="0.25">
      <c r="BC497" s="60" t="str">
        <f t="shared" si="14"/>
        <v/>
      </c>
      <c r="BD497" s="60">
        <v>235</v>
      </c>
      <c r="BG497" s="60" t="str">
        <f t="shared" si="15"/>
        <v/>
      </c>
    </row>
    <row r="498" spans="55:59" hidden="1" x14ac:dyDescent="0.25">
      <c r="BC498" s="60" t="str">
        <f t="shared" si="14"/>
        <v/>
      </c>
      <c r="BD498" s="60">
        <v>236</v>
      </c>
      <c r="BG498" s="60" t="str">
        <f t="shared" si="15"/>
        <v/>
      </c>
    </row>
    <row r="499" spans="55:59" hidden="1" x14ac:dyDescent="0.25">
      <c r="BC499" s="60" t="str">
        <f t="shared" si="14"/>
        <v/>
      </c>
      <c r="BD499" s="60">
        <v>237</v>
      </c>
      <c r="BG499" s="60" t="str">
        <f t="shared" si="15"/>
        <v/>
      </c>
    </row>
    <row r="500" spans="55:59" hidden="1" x14ac:dyDescent="0.25">
      <c r="BC500" s="60" t="str">
        <f t="shared" si="14"/>
        <v/>
      </c>
      <c r="BD500" s="60">
        <v>238</v>
      </c>
      <c r="BG500" s="60" t="str">
        <f t="shared" si="15"/>
        <v/>
      </c>
    </row>
    <row r="501" spans="55:59" hidden="1" x14ac:dyDescent="0.25">
      <c r="BC501" s="60" t="str">
        <f t="shared" si="14"/>
        <v/>
      </c>
      <c r="BD501" s="60">
        <v>239</v>
      </c>
      <c r="BG501" s="60" t="str">
        <f t="shared" si="15"/>
        <v/>
      </c>
    </row>
    <row r="502" spans="55:59" hidden="1" x14ac:dyDescent="0.25">
      <c r="BC502" s="60" t="str">
        <f t="shared" si="14"/>
        <v/>
      </c>
      <c r="BD502" s="60">
        <v>240</v>
      </c>
      <c r="BG502" s="60" t="str">
        <f t="shared" si="15"/>
        <v/>
      </c>
    </row>
    <row r="503" spans="55:59" hidden="1" x14ac:dyDescent="0.25">
      <c r="BC503" s="60" t="str">
        <f t="shared" si="14"/>
        <v/>
      </c>
      <c r="BD503" s="60">
        <v>241</v>
      </c>
      <c r="BG503" s="60" t="str">
        <f t="shared" si="15"/>
        <v/>
      </c>
    </row>
    <row r="504" spans="55:59" hidden="1" x14ac:dyDescent="0.25">
      <c r="BC504" s="60" t="str">
        <f t="shared" si="14"/>
        <v/>
      </c>
      <c r="BD504" s="60">
        <v>242</v>
      </c>
      <c r="BG504" s="60" t="str">
        <f t="shared" si="15"/>
        <v/>
      </c>
    </row>
    <row r="505" spans="55:59" hidden="1" x14ac:dyDescent="0.25">
      <c r="BC505" s="60" t="str">
        <f t="shared" si="14"/>
        <v/>
      </c>
      <c r="BD505" s="60">
        <v>243</v>
      </c>
      <c r="BG505" s="60" t="str">
        <f t="shared" si="15"/>
        <v/>
      </c>
    </row>
    <row r="506" spans="55:59" hidden="1" x14ac:dyDescent="0.25">
      <c r="BC506" s="60" t="str">
        <f t="shared" si="14"/>
        <v/>
      </c>
      <c r="BD506" s="60">
        <v>244</v>
      </c>
      <c r="BG506" s="60" t="str">
        <f t="shared" si="15"/>
        <v/>
      </c>
    </row>
    <row r="507" spans="55:59" hidden="1" x14ac:dyDescent="0.25">
      <c r="BC507" s="60" t="str">
        <f t="shared" si="14"/>
        <v/>
      </c>
      <c r="BD507" s="60">
        <v>245</v>
      </c>
      <c r="BG507" s="60" t="str">
        <f t="shared" si="15"/>
        <v/>
      </c>
    </row>
    <row r="508" spans="55:59" hidden="1" x14ac:dyDescent="0.25">
      <c r="BC508" s="60" t="str">
        <f t="shared" si="14"/>
        <v/>
      </c>
      <c r="BD508" s="60">
        <v>246</v>
      </c>
      <c r="BG508" s="60" t="str">
        <f t="shared" si="15"/>
        <v/>
      </c>
    </row>
    <row r="509" spans="55:59" hidden="1" x14ac:dyDescent="0.25">
      <c r="BC509" s="60" t="str">
        <f t="shared" si="14"/>
        <v/>
      </c>
      <c r="BD509" s="60">
        <v>247</v>
      </c>
      <c r="BG509" s="60" t="str">
        <f t="shared" si="15"/>
        <v/>
      </c>
    </row>
    <row r="510" spans="55:59" hidden="1" x14ac:dyDescent="0.25">
      <c r="BC510" s="60" t="str">
        <f t="shared" si="14"/>
        <v/>
      </c>
      <c r="BD510" s="60">
        <v>248</v>
      </c>
      <c r="BG510" s="60" t="str">
        <f t="shared" si="15"/>
        <v/>
      </c>
    </row>
    <row r="511" spans="55:59" hidden="1" x14ac:dyDescent="0.25">
      <c r="BC511" s="60" t="str">
        <f t="shared" si="14"/>
        <v/>
      </c>
      <c r="BD511" s="60">
        <v>249</v>
      </c>
      <c r="BG511" s="60" t="str">
        <f t="shared" si="15"/>
        <v/>
      </c>
    </row>
    <row r="512" spans="55:59" hidden="1" x14ac:dyDescent="0.25">
      <c r="BC512" s="60" t="str">
        <f t="shared" si="14"/>
        <v/>
      </c>
      <c r="BD512" s="60">
        <v>250</v>
      </c>
      <c r="BG512" s="60" t="str">
        <f t="shared" si="15"/>
        <v/>
      </c>
    </row>
    <row r="513" spans="55:59" hidden="1" x14ac:dyDescent="0.25">
      <c r="BC513" s="60" t="str">
        <f t="shared" si="14"/>
        <v/>
      </c>
      <c r="BD513" s="60">
        <v>251</v>
      </c>
      <c r="BG513" s="60" t="str">
        <f t="shared" si="15"/>
        <v/>
      </c>
    </row>
    <row r="514" spans="55:59" hidden="1" x14ac:dyDescent="0.25">
      <c r="BC514" s="60" t="str">
        <f t="shared" si="14"/>
        <v/>
      </c>
      <c r="BD514" s="60">
        <v>252</v>
      </c>
      <c r="BG514" s="60" t="str">
        <f t="shared" si="15"/>
        <v/>
      </c>
    </row>
    <row r="515" spans="55:59" hidden="1" x14ac:dyDescent="0.25">
      <c r="BC515" s="60" t="str">
        <f t="shared" si="14"/>
        <v/>
      </c>
      <c r="BD515" s="60">
        <v>253</v>
      </c>
      <c r="BG515" s="60" t="str">
        <f t="shared" si="15"/>
        <v/>
      </c>
    </row>
    <row r="516" spans="55:59" hidden="1" x14ac:dyDescent="0.25">
      <c r="BC516" s="60" t="str">
        <f t="shared" si="14"/>
        <v/>
      </c>
      <c r="BD516" s="60">
        <v>254</v>
      </c>
      <c r="BG516" s="60" t="str">
        <f t="shared" si="15"/>
        <v/>
      </c>
    </row>
    <row r="517" spans="55:59" hidden="1" x14ac:dyDescent="0.25">
      <c r="BC517" s="60" t="str">
        <f t="shared" si="14"/>
        <v/>
      </c>
      <c r="BD517" s="60">
        <v>255</v>
      </c>
      <c r="BG517" s="60" t="str">
        <f t="shared" si="15"/>
        <v/>
      </c>
    </row>
    <row r="518" spans="55:59" hidden="1" x14ac:dyDescent="0.25">
      <c r="BC518" s="60" t="str">
        <f t="shared" si="14"/>
        <v/>
      </c>
      <c r="BD518" s="60">
        <v>256</v>
      </c>
      <c r="BG518" s="60" t="str">
        <f t="shared" si="15"/>
        <v/>
      </c>
    </row>
    <row r="519" spans="55:59" hidden="1" x14ac:dyDescent="0.25">
      <c r="BC519" s="60" t="str">
        <f t="shared" si="14"/>
        <v/>
      </c>
      <c r="BD519" s="60">
        <v>257</v>
      </c>
      <c r="BG519" s="60" t="str">
        <f t="shared" si="15"/>
        <v/>
      </c>
    </row>
    <row r="520" spans="55:59" hidden="1" x14ac:dyDescent="0.25">
      <c r="BC520" s="60" t="str">
        <f t="shared" si="14"/>
        <v/>
      </c>
      <c r="BD520" s="60">
        <v>258</v>
      </c>
      <c r="BG520" s="60" t="str">
        <f t="shared" si="15"/>
        <v/>
      </c>
    </row>
    <row r="521" spans="55:59" hidden="1" x14ac:dyDescent="0.25">
      <c r="BC521" s="60" t="str">
        <f t="shared" si="14"/>
        <v/>
      </c>
      <c r="BD521" s="60">
        <v>259</v>
      </c>
      <c r="BG521" s="60" t="str">
        <f t="shared" si="15"/>
        <v/>
      </c>
    </row>
    <row r="522" spans="55:59" hidden="1" x14ac:dyDescent="0.25">
      <c r="BC522" s="60" t="str">
        <f t="shared" si="14"/>
        <v/>
      </c>
      <c r="BD522" s="60">
        <v>260</v>
      </c>
      <c r="BG522" s="60" t="str">
        <f t="shared" si="15"/>
        <v/>
      </c>
    </row>
    <row r="523" spans="55:59" hidden="1" x14ac:dyDescent="0.25">
      <c r="BC523" s="60" t="str">
        <f t="shared" si="14"/>
        <v/>
      </c>
      <c r="BD523" s="60">
        <v>261</v>
      </c>
      <c r="BG523" s="60" t="str">
        <f t="shared" si="15"/>
        <v/>
      </c>
    </row>
    <row r="524" spans="55:59" hidden="1" x14ac:dyDescent="0.25">
      <c r="BC524" s="60" t="str">
        <f t="shared" si="14"/>
        <v/>
      </c>
      <c r="BD524" s="60">
        <v>262</v>
      </c>
      <c r="BG524" s="60" t="str">
        <f t="shared" si="15"/>
        <v/>
      </c>
    </row>
    <row r="525" spans="55:59" hidden="1" x14ac:dyDescent="0.25">
      <c r="BC525" s="60" t="str">
        <f t="shared" si="14"/>
        <v/>
      </c>
      <c r="BD525" s="60">
        <v>263</v>
      </c>
      <c r="BG525" s="60" t="str">
        <f t="shared" si="15"/>
        <v/>
      </c>
    </row>
    <row r="526" spans="55:59" hidden="1" x14ac:dyDescent="0.25">
      <c r="BC526" s="60" t="str">
        <f t="shared" si="14"/>
        <v/>
      </c>
      <c r="BD526" s="60">
        <v>264</v>
      </c>
      <c r="BG526" s="60" t="str">
        <f t="shared" si="15"/>
        <v/>
      </c>
    </row>
    <row r="527" spans="55:59" hidden="1" x14ac:dyDescent="0.25">
      <c r="BC527" s="60" t="str">
        <f t="shared" si="14"/>
        <v/>
      </c>
      <c r="BD527" s="60">
        <v>265</v>
      </c>
      <c r="BG527" s="60" t="str">
        <f t="shared" si="15"/>
        <v/>
      </c>
    </row>
    <row r="528" spans="55:59" hidden="1" x14ac:dyDescent="0.25">
      <c r="BC528" s="60" t="str">
        <f t="shared" si="14"/>
        <v/>
      </c>
      <c r="BD528" s="60">
        <v>266</v>
      </c>
      <c r="BG528" s="60" t="str">
        <f t="shared" si="15"/>
        <v/>
      </c>
    </row>
    <row r="529" spans="55:59" hidden="1" x14ac:dyDescent="0.25">
      <c r="BC529" s="60" t="str">
        <f t="shared" si="14"/>
        <v/>
      </c>
      <c r="BD529" s="60">
        <v>267</v>
      </c>
      <c r="BG529" s="60" t="str">
        <f t="shared" si="15"/>
        <v/>
      </c>
    </row>
    <row r="530" spans="55:59" hidden="1" x14ac:dyDescent="0.25">
      <c r="BC530" s="60" t="str">
        <f t="shared" si="14"/>
        <v/>
      </c>
      <c r="BD530" s="60">
        <v>268</v>
      </c>
      <c r="BG530" s="60" t="str">
        <f t="shared" si="15"/>
        <v/>
      </c>
    </row>
    <row r="531" spans="55:59" hidden="1" x14ac:dyDescent="0.25">
      <c r="BC531" s="60" t="str">
        <f t="shared" si="14"/>
        <v/>
      </c>
      <c r="BD531" s="60">
        <v>269</v>
      </c>
      <c r="BG531" s="60" t="str">
        <f t="shared" si="15"/>
        <v/>
      </c>
    </row>
    <row r="532" spans="55:59" hidden="1" x14ac:dyDescent="0.25">
      <c r="BC532" s="60" t="str">
        <f t="shared" si="14"/>
        <v/>
      </c>
      <c r="BD532" s="60">
        <v>270</v>
      </c>
      <c r="BG532" s="60" t="str">
        <f t="shared" si="15"/>
        <v/>
      </c>
    </row>
    <row r="533" spans="55:59" hidden="1" x14ac:dyDescent="0.25">
      <c r="BC533" s="60" t="str">
        <f t="shared" si="14"/>
        <v/>
      </c>
      <c r="BD533" s="60">
        <v>271</v>
      </c>
      <c r="BG533" s="60" t="str">
        <f t="shared" si="15"/>
        <v/>
      </c>
    </row>
    <row r="534" spans="55:59" hidden="1" x14ac:dyDescent="0.25">
      <c r="BC534" s="60" t="str">
        <f t="shared" si="14"/>
        <v/>
      </c>
      <c r="BD534" s="60">
        <v>272</v>
      </c>
      <c r="BG534" s="60" t="str">
        <f t="shared" si="15"/>
        <v/>
      </c>
    </row>
    <row r="535" spans="55:59" hidden="1" x14ac:dyDescent="0.25">
      <c r="BC535" s="60" t="str">
        <f t="shared" si="14"/>
        <v/>
      </c>
      <c r="BD535" s="60">
        <v>273</v>
      </c>
      <c r="BG535" s="60" t="str">
        <f t="shared" si="15"/>
        <v/>
      </c>
    </row>
    <row r="536" spans="55:59" hidden="1" x14ac:dyDescent="0.25">
      <c r="BC536" s="60" t="str">
        <f t="shared" si="14"/>
        <v/>
      </c>
      <c r="BD536" s="60">
        <v>274</v>
      </c>
      <c r="BG536" s="60" t="str">
        <f t="shared" si="15"/>
        <v/>
      </c>
    </row>
    <row r="537" spans="55:59" hidden="1" x14ac:dyDescent="0.25">
      <c r="BC537" s="60" t="str">
        <f t="shared" ref="BC537:BC600" si="16">IF(BC536&lt;&gt;"", IF(BC536&lt;$AQ$319, BC536+1, ""), "")</f>
        <v/>
      </c>
      <c r="BD537" s="60">
        <v>275</v>
      </c>
      <c r="BG537" s="60" t="str">
        <f t="shared" ref="BG537:BG600" si="17">IF(BG536 &lt;&gt; "", IF(BG536+$AT$321 &lt;= $AR$322, BG536+$AT$321, ""), "")</f>
        <v/>
      </c>
    </row>
    <row r="538" spans="55:59" hidden="1" x14ac:dyDescent="0.25">
      <c r="BC538" s="60" t="str">
        <f t="shared" si="16"/>
        <v/>
      </c>
      <c r="BD538" s="60">
        <v>276</v>
      </c>
      <c r="BG538" s="60" t="str">
        <f t="shared" si="17"/>
        <v/>
      </c>
    </row>
    <row r="539" spans="55:59" hidden="1" x14ac:dyDescent="0.25">
      <c r="BC539" s="60" t="str">
        <f t="shared" si="16"/>
        <v/>
      </c>
      <c r="BD539" s="60">
        <v>277</v>
      </c>
      <c r="BG539" s="60" t="str">
        <f t="shared" si="17"/>
        <v/>
      </c>
    </row>
    <row r="540" spans="55:59" hidden="1" x14ac:dyDescent="0.25">
      <c r="BC540" s="60" t="str">
        <f t="shared" si="16"/>
        <v/>
      </c>
      <c r="BD540" s="60">
        <v>278</v>
      </c>
      <c r="BG540" s="60" t="str">
        <f t="shared" si="17"/>
        <v/>
      </c>
    </row>
    <row r="541" spans="55:59" hidden="1" x14ac:dyDescent="0.25">
      <c r="BC541" s="60" t="str">
        <f t="shared" si="16"/>
        <v/>
      </c>
      <c r="BD541" s="60">
        <v>279</v>
      </c>
      <c r="BG541" s="60" t="str">
        <f t="shared" si="17"/>
        <v/>
      </c>
    </row>
    <row r="542" spans="55:59" hidden="1" x14ac:dyDescent="0.25">
      <c r="BC542" s="60" t="str">
        <f t="shared" si="16"/>
        <v/>
      </c>
      <c r="BD542" s="60">
        <v>280</v>
      </c>
      <c r="BG542" s="60" t="str">
        <f t="shared" si="17"/>
        <v/>
      </c>
    </row>
    <row r="543" spans="55:59" hidden="1" x14ac:dyDescent="0.25">
      <c r="BC543" s="60" t="str">
        <f t="shared" si="16"/>
        <v/>
      </c>
      <c r="BD543" s="60">
        <v>281</v>
      </c>
      <c r="BG543" s="60" t="str">
        <f t="shared" si="17"/>
        <v/>
      </c>
    </row>
    <row r="544" spans="55:59" hidden="1" x14ac:dyDescent="0.25">
      <c r="BC544" s="60" t="str">
        <f t="shared" si="16"/>
        <v/>
      </c>
      <c r="BD544" s="60">
        <v>282</v>
      </c>
      <c r="BG544" s="60" t="str">
        <f t="shared" si="17"/>
        <v/>
      </c>
    </row>
    <row r="545" spans="55:59" hidden="1" x14ac:dyDescent="0.25">
      <c r="BC545" s="60" t="str">
        <f t="shared" si="16"/>
        <v/>
      </c>
      <c r="BD545" s="60">
        <v>283</v>
      </c>
      <c r="BG545" s="60" t="str">
        <f t="shared" si="17"/>
        <v/>
      </c>
    </row>
    <row r="546" spans="55:59" hidden="1" x14ac:dyDescent="0.25">
      <c r="BC546" s="60" t="str">
        <f t="shared" si="16"/>
        <v/>
      </c>
      <c r="BD546" s="60">
        <v>284</v>
      </c>
      <c r="BG546" s="60" t="str">
        <f t="shared" si="17"/>
        <v/>
      </c>
    </row>
    <row r="547" spans="55:59" hidden="1" x14ac:dyDescent="0.25">
      <c r="BC547" s="60" t="str">
        <f t="shared" si="16"/>
        <v/>
      </c>
      <c r="BD547" s="60">
        <v>285</v>
      </c>
      <c r="BG547" s="60" t="str">
        <f t="shared" si="17"/>
        <v/>
      </c>
    </row>
    <row r="548" spans="55:59" hidden="1" x14ac:dyDescent="0.25">
      <c r="BC548" s="60" t="str">
        <f t="shared" si="16"/>
        <v/>
      </c>
      <c r="BD548" s="60">
        <v>286</v>
      </c>
      <c r="BG548" s="60" t="str">
        <f t="shared" si="17"/>
        <v/>
      </c>
    </row>
    <row r="549" spans="55:59" hidden="1" x14ac:dyDescent="0.25">
      <c r="BC549" s="60" t="str">
        <f t="shared" si="16"/>
        <v/>
      </c>
      <c r="BD549" s="60">
        <v>287</v>
      </c>
      <c r="BG549" s="60" t="str">
        <f t="shared" si="17"/>
        <v/>
      </c>
    </row>
    <row r="550" spans="55:59" hidden="1" x14ac:dyDescent="0.25">
      <c r="BC550" s="60" t="str">
        <f t="shared" si="16"/>
        <v/>
      </c>
      <c r="BD550" s="60">
        <v>288</v>
      </c>
      <c r="BG550" s="60" t="str">
        <f t="shared" si="17"/>
        <v/>
      </c>
    </row>
    <row r="551" spans="55:59" hidden="1" x14ac:dyDescent="0.25">
      <c r="BC551" s="60" t="str">
        <f t="shared" si="16"/>
        <v/>
      </c>
      <c r="BD551" s="60">
        <v>289</v>
      </c>
      <c r="BG551" s="60" t="str">
        <f t="shared" si="17"/>
        <v/>
      </c>
    </row>
    <row r="552" spans="55:59" hidden="1" x14ac:dyDescent="0.25">
      <c r="BC552" s="60" t="str">
        <f t="shared" si="16"/>
        <v/>
      </c>
      <c r="BD552" s="60">
        <v>290</v>
      </c>
      <c r="BG552" s="60" t="str">
        <f t="shared" si="17"/>
        <v/>
      </c>
    </row>
    <row r="553" spans="55:59" hidden="1" x14ac:dyDescent="0.25">
      <c r="BC553" s="60" t="str">
        <f t="shared" si="16"/>
        <v/>
      </c>
      <c r="BD553" s="60">
        <v>291</v>
      </c>
      <c r="BG553" s="60" t="str">
        <f t="shared" si="17"/>
        <v/>
      </c>
    </row>
    <row r="554" spans="55:59" hidden="1" x14ac:dyDescent="0.25">
      <c r="BC554" s="60" t="str">
        <f t="shared" si="16"/>
        <v/>
      </c>
      <c r="BD554" s="60">
        <v>292</v>
      </c>
      <c r="BG554" s="60" t="str">
        <f t="shared" si="17"/>
        <v/>
      </c>
    </row>
    <row r="555" spans="55:59" hidden="1" x14ac:dyDescent="0.25">
      <c r="BC555" s="60" t="str">
        <f t="shared" si="16"/>
        <v/>
      </c>
      <c r="BD555" s="60">
        <v>293</v>
      </c>
      <c r="BG555" s="60" t="str">
        <f t="shared" si="17"/>
        <v/>
      </c>
    </row>
    <row r="556" spans="55:59" hidden="1" x14ac:dyDescent="0.25">
      <c r="BC556" s="60" t="str">
        <f t="shared" si="16"/>
        <v/>
      </c>
      <c r="BD556" s="60">
        <v>294</v>
      </c>
      <c r="BG556" s="60" t="str">
        <f t="shared" si="17"/>
        <v/>
      </c>
    </row>
    <row r="557" spans="55:59" hidden="1" x14ac:dyDescent="0.25">
      <c r="BC557" s="60" t="str">
        <f t="shared" si="16"/>
        <v/>
      </c>
      <c r="BD557" s="60">
        <v>295</v>
      </c>
      <c r="BG557" s="60" t="str">
        <f t="shared" si="17"/>
        <v/>
      </c>
    </row>
    <row r="558" spans="55:59" hidden="1" x14ac:dyDescent="0.25">
      <c r="BC558" s="60" t="str">
        <f t="shared" si="16"/>
        <v/>
      </c>
      <c r="BD558" s="60">
        <v>296</v>
      </c>
      <c r="BG558" s="60" t="str">
        <f t="shared" si="17"/>
        <v/>
      </c>
    </row>
    <row r="559" spans="55:59" hidden="1" x14ac:dyDescent="0.25">
      <c r="BC559" s="60" t="str">
        <f t="shared" si="16"/>
        <v/>
      </c>
      <c r="BD559" s="60">
        <v>297</v>
      </c>
      <c r="BG559" s="60" t="str">
        <f t="shared" si="17"/>
        <v/>
      </c>
    </row>
    <row r="560" spans="55:59" hidden="1" x14ac:dyDescent="0.25">
      <c r="BC560" s="60" t="str">
        <f t="shared" si="16"/>
        <v/>
      </c>
      <c r="BD560" s="60">
        <v>298</v>
      </c>
      <c r="BG560" s="60" t="str">
        <f t="shared" si="17"/>
        <v/>
      </c>
    </row>
    <row r="561" spans="55:59" hidden="1" x14ac:dyDescent="0.25">
      <c r="BC561" s="60" t="str">
        <f t="shared" si="16"/>
        <v/>
      </c>
      <c r="BD561" s="60">
        <v>299</v>
      </c>
      <c r="BG561" s="60" t="str">
        <f t="shared" si="17"/>
        <v/>
      </c>
    </row>
    <row r="562" spans="55:59" hidden="1" x14ac:dyDescent="0.25">
      <c r="BC562" s="60" t="str">
        <f t="shared" si="16"/>
        <v/>
      </c>
      <c r="BD562" s="60">
        <v>300</v>
      </c>
      <c r="BG562" s="60" t="str">
        <f t="shared" si="17"/>
        <v/>
      </c>
    </row>
    <row r="563" spans="55:59" hidden="1" x14ac:dyDescent="0.25">
      <c r="BC563" s="60" t="str">
        <f t="shared" si="16"/>
        <v/>
      </c>
      <c r="BD563" s="60">
        <v>301</v>
      </c>
      <c r="BG563" s="60" t="str">
        <f t="shared" si="17"/>
        <v/>
      </c>
    </row>
    <row r="564" spans="55:59" hidden="1" x14ac:dyDescent="0.25">
      <c r="BC564" s="60" t="str">
        <f t="shared" si="16"/>
        <v/>
      </c>
      <c r="BD564" s="60">
        <v>302</v>
      </c>
      <c r="BG564" s="60" t="str">
        <f t="shared" si="17"/>
        <v/>
      </c>
    </row>
    <row r="565" spans="55:59" hidden="1" x14ac:dyDescent="0.25">
      <c r="BC565" s="60" t="str">
        <f t="shared" si="16"/>
        <v/>
      </c>
      <c r="BD565" s="60">
        <v>303</v>
      </c>
      <c r="BG565" s="60" t="str">
        <f t="shared" si="17"/>
        <v/>
      </c>
    </row>
    <row r="566" spans="55:59" hidden="1" x14ac:dyDescent="0.25">
      <c r="BC566" s="60" t="str">
        <f t="shared" si="16"/>
        <v/>
      </c>
      <c r="BD566" s="60">
        <v>304</v>
      </c>
      <c r="BG566" s="60" t="str">
        <f t="shared" si="17"/>
        <v/>
      </c>
    </row>
    <row r="567" spans="55:59" hidden="1" x14ac:dyDescent="0.25">
      <c r="BC567" s="60" t="str">
        <f t="shared" si="16"/>
        <v/>
      </c>
      <c r="BD567" s="60">
        <v>305</v>
      </c>
      <c r="BG567" s="60" t="str">
        <f t="shared" si="17"/>
        <v/>
      </c>
    </row>
    <row r="568" spans="55:59" hidden="1" x14ac:dyDescent="0.25">
      <c r="BC568" s="60" t="str">
        <f t="shared" si="16"/>
        <v/>
      </c>
      <c r="BD568" s="60">
        <v>306</v>
      </c>
      <c r="BG568" s="60" t="str">
        <f t="shared" si="17"/>
        <v/>
      </c>
    </row>
    <row r="569" spans="55:59" hidden="1" x14ac:dyDescent="0.25">
      <c r="BC569" s="60" t="str">
        <f t="shared" si="16"/>
        <v/>
      </c>
      <c r="BD569" s="60">
        <v>307</v>
      </c>
      <c r="BG569" s="60" t="str">
        <f t="shared" si="17"/>
        <v/>
      </c>
    </row>
    <row r="570" spans="55:59" hidden="1" x14ac:dyDescent="0.25">
      <c r="BC570" s="60" t="str">
        <f t="shared" si="16"/>
        <v/>
      </c>
      <c r="BD570" s="60">
        <v>308</v>
      </c>
      <c r="BG570" s="60" t="str">
        <f t="shared" si="17"/>
        <v/>
      </c>
    </row>
    <row r="571" spans="55:59" hidden="1" x14ac:dyDescent="0.25">
      <c r="BC571" s="60" t="str">
        <f t="shared" si="16"/>
        <v/>
      </c>
      <c r="BD571" s="60">
        <v>309</v>
      </c>
      <c r="BG571" s="60" t="str">
        <f t="shared" si="17"/>
        <v/>
      </c>
    </row>
    <row r="572" spans="55:59" hidden="1" x14ac:dyDescent="0.25">
      <c r="BC572" s="60" t="str">
        <f t="shared" si="16"/>
        <v/>
      </c>
      <c r="BD572" s="60">
        <v>310</v>
      </c>
      <c r="BG572" s="60" t="str">
        <f t="shared" si="17"/>
        <v/>
      </c>
    </row>
    <row r="573" spans="55:59" hidden="1" x14ac:dyDescent="0.25">
      <c r="BC573" s="60" t="str">
        <f t="shared" si="16"/>
        <v/>
      </c>
      <c r="BD573" s="60">
        <v>311</v>
      </c>
      <c r="BG573" s="60" t="str">
        <f t="shared" si="17"/>
        <v/>
      </c>
    </row>
    <row r="574" spans="55:59" hidden="1" x14ac:dyDescent="0.25">
      <c r="BC574" s="60" t="str">
        <f t="shared" si="16"/>
        <v/>
      </c>
      <c r="BD574" s="60">
        <v>312</v>
      </c>
      <c r="BG574" s="60" t="str">
        <f t="shared" si="17"/>
        <v/>
      </c>
    </row>
    <row r="575" spans="55:59" hidden="1" x14ac:dyDescent="0.25">
      <c r="BC575" s="60" t="str">
        <f t="shared" si="16"/>
        <v/>
      </c>
      <c r="BD575" s="60">
        <v>313</v>
      </c>
      <c r="BG575" s="60" t="str">
        <f t="shared" si="17"/>
        <v/>
      </c>
    </row>
    <row r="576" spans="55:59" hidden="1" x14ac:dyDescent="0.25">
      <c r="BC576" s="60" t="str">
        <f t="shared" si="16"/>
        <v/>
      </c>
      <c r="BD576" s="60">
        <v>314</v>
      </c>
      <c r="BG576" s="60" t="str">
        <f t="shared" si="17"/>
        <v/>
      </c>
    </row>
    <row r="577" spans="55:59" hidden="1" x14ac:dyDescent="0.25">
      <c r="BC577" s="60" t="str">
        <f t="shared" si="16"/>
        <v/>
      </c>
      <c r="BD577" s="60">
        <v>315</v>
      </c>
      <c r="BG577" s="60" t="str">
        <f t="shared" si="17"/>
        <v/>
      </c>
    </row>
    <row r="578" spans="55:59" hidden="1" x14ac:dyDescent="0.25">
      <c r="BC578" s="60" t="str">
        <f t="shared" si="16"/>
        <v/>
      </c>
      <c r="BD578" s="60">
        <v>316</v>
      </c>
      <c r="BG578" s="60" t="str">
        <f t="shared" si="17"/>
        <v/>
      </c>
    </row>
    <row r="579" spans="55:59" hidden="1" x14ac:dyDescent="0.25">
      <c r="BC579" s="60" t="str">
        <f t="shared" si="16"/>
        <v/>
      </c>
      <c r="BD579" s="60">
        <v>317</v>
      </c>
      <c r="BG579" s="60" t="str">
        <f t="shared" si="17"/>
        <v/>
      </c>
    </row>
    <row r="580" spans="55:59" hidden="1" x14ac:dyDescent="0.25">
      <c r="BC580" s="60" t="str">
        <f t="shared" si="16"/>
        <v/>
      </c>
      <c r="BD580" s="60">
        <v>318</v>
      </c>
      <c r="BG580" s="60" t="str">
        <f t="shared" si="17"/>
        <v/>
      </c>
    </row>
    <row r="581" spans="55:59" hidden="1" x14ac:dyDescent="0.25">
      <c r="BC581" s="60" t="str">
        <f t="shared" si="16"/>
        <v/>
      </c>
      <c r="BD581" s="60">
        <v>319</v>
      </c>
      <c r="BG581" s="60" t="str">
        <f t="shared" si="17"/>
        <v/>
      </c>
    </row>
    <row r="582" spans="55:59" hidden="1" x14ac:dyDescent="0.25">
      <c r="BC582" s="60" t="str">
        <f t="shared" si="16"/>
        <v/>
      </c>
      <c r="BD582" s="60">
        <v>320</v>
      </c>
      <c r="BG582" s="60" t="str">
        <f t="shared" si="17"/>
        <v/>
      </c>
    </row>
    <row r="583" spans="55:59" hidden="1" x14ac:dyDescent="0.25">
      <c r="BC583" s="60" t="str">
        <f t="shared" si="16"/>
        <v/>
      </c>
      <c r="BD583" s="60">
        <v>321</v>
      </c>
      <c r="BG583" s="60" t="str">
        <f t="shared" si="17"/>
        <v/>
      </c>
    </row>
    <row r="584" spans="55:59" hidden="1" x14ac:dyDescent="0.25">
      <c r="BC584" s="60" t="str">
        <f t="shared" si="16"/>
        <v/>
      </c>
      <c r="BD584" s="60">
        <v>322</v>
      </c>
      <c r="BG584" s="60" t="str">
        <f t="shared" si="17"/>
        <v/>
      </c>
    </row>
    <row r="585" spans="55:59" hidden="1" x14ac:dyDescent="0.25">
      <c r="BC585" s="60" t="str">
        <f t="shared" si="16"/>
        <v/>
      </c>
      <c r="BD585" s="60">
        <v>323</v>
      </c>
      <c r="BG585" s="60" t="str">
        <f t="shared" si="17"/>
        <v/>
      </c>
    </row>
    <row r="586" spans="55:59" hidden="1" x14ac:dyDescent="0.25">
      <c r="BC586" s="60" t="str">
        <f t="shared" si="16"/>
        <v/>
      </c>
      <c r="BD586" s="60">
        <v>324</v>
      </c>
      <c r="BG586" s="60" t="str">
        <f t="shared" si="17"/>
        <v/>
      </c>
    </row>
    <row r="587" spans="55:59" hidden="1" x14ac:dyDescent="0.25">
      <c r="BC587" s="60" t="str">
        <f t="shared" si="16"/>
        <v/>
      </c>
      <c r="BD587" s="60">
        <v>325</v>
      </c>
      <c r="BG587" s="60" t="str">
        <f t="shared" si="17"/>
        <v/>
      </c>
    </row>
    <row r="588" spans="55:59" hidden="1" x14ac:dyDescent="0.25">
      <c r="BC588" s="60" t="str">
        <f t="shared" si="16"/>
        <v/>
      </c>
      <c r="BD588" s="60">
        <v>326</v>
      </c>
      <c r="BG588" s="60" t="str">
        <f t="shared" si="17"/>
        <v/>
      </c>
    </row>
    <row r="589" spans="55:59" hidden="1" x14ac:dyDescent="0.25">
      <c r="BC589" s="60" t="str">
        <f t="shared" si="16"/>
        <v/>
      </c>
      <c r="BD589" s="60">
        <v>327</v>
      </c>
      <c r="BG589" s="60" t="str">
        <f t="shared" si="17"/>
        <v/>
      </c>
    </row>
    <row r="590" spans="55:59" hidden="1" x14ac:dyDescent="0.25">
      <c r="BC590" s="60" t="str">
        <f t="shared" si="16"/>
        <v/>
      </c>
      <c r="BD590" s="60">
        <v>328</v>
      </c>
      <c r="BG590" s="60" t="str">
        <f t="shared" si="17"/>
        <v/>
      </c>
    </row>
    <row r="591" spans="55:59" hidden="1" x14ac:dyDescent="0.25">
      <c r="BC591" s="60" t="str">
        <f t="shared" si="16"/>
        <v/>
      </c>
      <c r="BD591" s="60">
        <v>329</v>
      </c>
      <c r="BG591" s="60" t="str">
        <f t="shared" si="17"/>
        <v/>
      </c>
    </row>
    <row r="592" spans="55:59" hidden="1" x14ac:dyDescent="0.25">
      <c r="BC592" s="60" t="str">
        <f t="shared" si="16"/>
        <v/>
      </c>
      <c r="BD592" s="60">
        <v>330</v>
      </c>
      <c r="BG592" s="60" t="str">
        <f t="shared" si="17"/>
        <v/>
      </c>
    </row>
    <row r="593" spans="55:59" hidden="1" x14ac:dyDescent="0.25">
      <c r="BC593" s="60" t="str">
        <f t="shared" si="16"/>
        <v/>
      </c>
      <c r="BD593" s="60">
        <v>331</v>
      </c>
      <c r="BG593" s="60" t="str">
        <f t="shared" si="17"/>
        <v/>
      </c>
    </row>
    <row r="594" spans="55:59" hidden="1" x14ac:dyDescent="0.25">
      <c r="BC594" s="60" t="str">
        <f t="shared" si="16"/>
        <v/>
      </c>
      <c r="BD594" s="60">
        <v>332</v>
      </c>
      <c r="BG594" s="60" t="str">
        <f t="shared" si="17"/>
        <v/>
      </c>
    </row>
    <row r="595" spans="55:59" hidden="1" x14ac:dyDescent="0.25">
      <c r="BC595" s="60" t="str">
        <f t="shared" si="16"/>
        <v/>
      </c>
      <c r="BD595" s="60">
        <v>333</v>
      </c>
      <c r="BG595" s="60" t="str">
        <f t="shared" si="17"/>
        <v/>
      </c>
    </row>
    <row r="596" spans="55:59" hidden="1" x14ac:dyDescent="0.25">
      <c r="BC596" s="60" t="str">
        <f t="shared" si="16"/>
        <v/>
      </c>
      <c r="BD596" s="60">
        <v>334</v>
      </c>
      <c r="BG596" s="60" t="str">
        <f t="shared" si="17"/>
        <v/>
      </c>
    </row>
    <row r="597" spans="55:59" hidden="1" x14ac:dyDescent="0.25">
      <c r="BC597" s="60" t="str">
        <f t="shared" si="16"/>
        <v/>
      </c>
      <c r="BD597" s="60">
        <v>335</v>
      </c>
      <c r="BG597" s="60" t="str">
        <f t="shared" si="17"/>
        <v/>
      </c>
    </row>
    <row r="598" spans="55:59" hidden="1" x14ac:dyDescent="0.25">
      <c r="BC598" s="60" t="str">
        <f t="shared" si="16"/>
        <v/>
      </c>
      <c r="BD598" s="60">
        <v>336</v>
      </c>
      <c r="BG598" s="60" t="str">
        <f t="shared" si="17"/>
        <v/>
      </c>
    </row>
    <row r="599" spans="55:59" hidden="1" x14ac:dyDescent="0.25">
      <c r="BC599" s="60" t="str">
        <f t="shared" si="16"/>
        <v/>
      </c>
      <c r="BD599" s="60">
        <v>337</v>
      </c>
      <c r="BG599" s="60" t="str">
        <f t="shared" si="17"/>
        <v/>
      </c>
    </row>
    <row r="600" spans="55:59" hidden="1" x14ac:dyDescent="0.25">
      <c r="BC600" s="60" t="str">
        <f t="shared" si="16"/>
        <v/>
      </c>
      <c r="BD600" s="60">
        <v>338</v>
      </c>
      <c r="BG600" s="60" t="str">
        <f t="shared" si="17"/>
        <v/>
      </c>
    </row>
    <row r="601" spans="55:59" hidden="1" x14ac:dyDescent="0.25">
      <c r="BC601" s="60" t="str">
        <f t="shared" ref="BC601:BC664" si="18">IF(BC600&lt;&gt;"", IF(BC600&lt;$AQ$319, BC600+1, ""), "")</f>
        <v/>
      </c>
      <c r="BD601" s="60">
        <v>339</v>
      </c>
      <c r="BG601" s="60" t="str">
        <f t="shared" ref="BG601:BG664" si="19">IF(BG600 &lt;&gt; "", IF(BG600+$AT$321 &lt;= $AR$322, BG600+$AT$321, ""), "")</f>
        <v/>
      </c>
    </row>
    <row r="602" spans="55:59" hidden="1" x14ac:dyDescent="0.25">
      <c r="BC602" s="60" t="str">
        <f t="shared" si="18"/>
        <v/>
      </c>
      <c r="BD602" s="60">
        <v>340</v>
      </c>
      <c r="BG602" s="60" t="str">
        <f t="shared" si="19"/>
        <v/>
      </c>
    </row>
    <row r="603" spans="55:59" hidden="1" x14ac:dyDescent="0.25">
      <c r="BC603" s="60" t="str">
        <f t="shared" si="18"/>
        <v/>
      </c>
      <c r="BD603" s="60">
        <v>341</v>
      </c>
      <c r="BG603" s="60" t="str">
        <f t="shared" si="19"/>
        <v/>
      </c>
    </row>
    <row r="604" spans="55:59" hidden="1" x14ac:dyDescent="0.25">
      <c r="BC604" s="60" t="str">
        <f t="shared" si="18"/>
        <v/>
      </c>
      <c r="BD604" s="60">
        <v>342</v>
      </c>
      <c r="BG604" s="60" t="str">
        <f t="shared" si="19"/>
        <v/>
      </c>
    </row>
    <row r="605" spans="55:59" hidden="1" x14ac:dyDescent="0.25">
      <c r="BC605" s="60" t="str">
        <f t="shared" si="18"/>
        <v/>
      </c>
      <c r="BD605" s="60">
        <v>343</v>
      </c>
      <c r="BG605" s="60" t="str">
        <f t="shared" si="19"/>
        <v/>
      </c>
    </row>
    <row r="606" spans="55:59" hidden="1" x14ac:dyDescent="0.25">
      <c r="BC606" s="60" t="str">
        <f t="shared" si="18"/>
        <v/>
      </c>
      <c r="BD606" s="60">
        <v>344</v>
      </c>
      <c r="BG606" s="60" t="str">
        <f t="shared" si="19"/>
        <v/>
      </c>
    </row>
    <row r="607" spans="55:59" hidden="1" x14ac:dyDescent="0.25">
      <c r="BC607" s="60" t="str">
        <f t="shared" si="18"/>
        <v/>
      </c>
      <c r="BD607" s="60">
        <v>345</v>
      </c>
      <c r="BG607" s="60" t="str">
        <f t="shared" si="19"/>
        <v/>
      </c>
    </row>
    <row r="608" spans="55:59" hidden="1" x14ac:dyDescent="0.25">
      <c r="BC608" s="60" t="str">
        <f t="shared" si="18"/>
        <v/>
      </c>
      <c r="BD608" s="60">
        <v>346</v>
      </c>
      <c r="BG608" s="60" t="str">
        <f t="shared" si="19"/>
        <v/>
      </c>
    </row>
    <row r="609" spans="55:59" hidden="1" x14ac:dyDescent="0.25">
      <c r="BC609" s="60" t="str">
        <f t="shared" si="18"/>
        <v/>
      </c>
      <c r="BD609" s="60">
        <v>347</v>
      </c>
      <c r="BG609" s="60" t="str">
        <f t="shared" si="19"/>
        <v/>
      </c>
    </row>
    <row r="610" spans="55:59" hidden="1" x14ac:dyDescent="0.25">
      <c r="BC610" s="60" t="str">
        <f t="shared" si="18"/>
        <v/>
      </c>
      <c r="BD610" s="60">
        <v>348</v>
      </c>
      <c r="BG610" s="60" t="str">
        <f t="shared" si="19"/>
        <v/>
      </c>
    </row>
    <row r="611" spans="55:59" hidden="1" x14ac:dyDescent="0.25">
      <c r="BC611" s="60" t="str">
        <f t="shared" si="18"/>
        <v/>
      </c>
      <c r="BD611" s="60">
        <v>349</v>
      </c>
      <c r="BG611" s="60" t="str">
        <f t="shared" si="19"/>
        <v/>
      </c>
    </row>
    <row r="612" spans="55:59" hidden="1" x14ac:dyDescent="0.25">
      <c r="BC612" s="60" t="str">
        <f t="shared" si="18"/>
        <v/>
      </c>
      <c r="BD612" s="60">
        <v>350</v>
      </c>
      <c r="BG612" s="60" t="str">
        <f t="shared" si="19"/>
        <v/>
      </c>
    </row>
    <row r="613" spans="55:59" hidden="1" x14ac:dyDescent="0.25">
      <c r="BC613" s="60" t="str">
        <f t="shared" si="18"/>
        <v/>
      </c>
      <c r="BD613" s="60">
        <v>351</v>
      </c>
      <c r="BG613" s="60" t="str">
        <f t="shared" si="19"/>
        <v/>
      </c>
    </row>
    <row r="614" spans="55:59" hidden="1" x14ac:dyDescent="0.25">
      <c r="BC614" s="60" t="str">
        <f t="shared" si="18"/>
        <v/>
      </c>
      <c r="BD614" s="60">
        <v>352</v>
      </c>
      <c r="BG614" s="60" t="str">
        <f t="shared" si="19"/>
        <v/>
      </c>
    </row>
    <row r="615" spans="55:59" hidden="1" x14ac:dyDescent="0.25">
      <c r="BC615" s="60" t="str">
        <f t="shared" si="18"/>
        <v/>
      </c>
      <c r="BD615" s="60">
        <v>353</v>
      </c>
      <c r="BG615" s="60" t="str">
        <f t="shared" si="19"/>
        <v/>
      </c>
    </row>
    <row r="616" spans="55:59" hidden="1" x14ac:dyDescent="0.25">
      <c r="BC616" s="60" t="str">
        <f t="shared" si="18"/>
        <v/>
      </c>
      <c r="BD616" s="60">
        <v>354</v>
      </c>
      <c r="BG616" s="60" t="str">
        <f t="shared" si="19"/>
        <v/>
      </c>
    </row>
    <row r="617" spans="55:59" hidden="1" x14ac:dyDescent="0.25">
      <c r="BC617" s="60" t="str">
        <f t="shared" si="18"/>
        <v/>
      </c>
      <c r="BD617" s="60">
        <v>355</v>
      </c>
      <c r="BG617" s="60" t="str">
        <f t="shared" si="19"/>
        <v/>
      </c>
    </row>
    <row r="618" spans="55:59" hidden="1" x14ac:dyDescent="0.25">
      <c r="BC618" s="60" t="str">
        <f t="shared" si="18"/>
        <v/>
      </c>
      <c r="BD618" s="60">
        <v>356</v>
      </c>
      <c r="BG618" s="60" t="str">
        <f t="shared" si="19"/>
        <v/>
      </c>
    </row>
    <row r="619" spans="55:59" hidden="1" x14ac:dyDescent="0.25">
      <c r="BC619" s="60" t="str">
        <f t="shared" si="18"/>
        <v/>
      </c>
      <c r="BD619" s="60">
        <v>357</v>
      </c>
      <c r="BG619" s="60" t="str">
        <f t="shared" si="19"/>
        <v/>
      </c>
    </row>
    <row r="620" spans="55:59" hidden="1" x14ac:dyDescent="0.25">
      <c r="BC620" s="60" t="str">
        <f t="shared" si="18"/>
        <v/>
      </c>
      <c r="BD620" s="60">
        <v>358</v>
      </c>
      <c r="BG620" s="60" t="str">
        <f t="shared" si="19"/>
        <v/>
      </c>
    </row>
    <row r="621" spans="55:59" hidden="1" x14ac:dyDescent="0.25">
      <c r="BC621" s="60" t="str">
        <f t="shared" si="18"/>
        <v/>
      </c>
      <c r="BD621" s="60">
        <v>359</v>
      </c>
      <c r="BG621" s="60" t="str">
        <f t="shared" si="19"/>
        <v/>
      </c>
    </row>
    <row r="622" spans="55:59" hidden="1" x14ac:dyDescent="0.25">
      <c r="BC622" s="60" t="str">
        <f t="shared" si="18"/>
        <v/>
      </c>
      <c r="BD622" s="60">
        <v>360</v>
      </c>
      <c r="BG622" s="60" t="str">
        <f t="shared" si="19"/>
        <v/>
      </c>
    </row>
    <row r="623" spans="55:59" hidden="1" x14ac:dyDescent="0.25">
      <c r="BC623" s="60" t="str">
        <f t="shared" si="18"/>
        <v/>
      </c>
      <c r="BD623" s="60">
        <v>361</v>
      </c>
      <c r="BG623" s="60" t="str">
        <f t="shared" si="19"/>
        <v/>
      </c>
    </row>
    <row r="624" spans="55:59" hidden="1" x14ac:dyDescent="0.25">
      <c r="BC624" s="60" t="str">
        <f t="shared" si="18"/>
        <v/>
      </c>
      <c r="BD624" s="60">
        <v>362</v>
      </c>
      <c r="BG624" s="60" t="str">
        <f t="shared" si="19"/>
        <v/>
      </c>
    </row>
    <row r="625" spans="55:59" hidden="1" x14ac:dyDescent="0.25">
      <c r="BC625" s="60" t="str">
        <f t="shared" si="18"/>
        <v/>
      </c>
      <c r="BD625" s="60">
        <v>363</v>
      </c>
      <c r="BG625" s="60" t="str">
        <f t="shared" si="19"/>
        <v/>
      </c>
    </row>
    <row r="626" spans="55:59" hidden="1" x14ac:dyDescent="0.25">
      <c r="BC626" s="60" t="str">
        <f t="shared" si="18"/>
        <v/>
      </c>
      <c r="BD626" s="60">
        <v>364</v>
      </c>
      <c r="BG626" s="60" t="str">
        <f t="shared" si="19"/>
        <v/>
      </c>
    </row>
    <row r="627" spans="55:59" hidden="1" x14ac:dyDescent="0.25">
      <c r="BC627" s="60" t="str">
        <f t="shared" si="18"/>
        <v/>
      </c>
      <c r="BD627" s="60">
        <v>365</v>
      </c>
      <c r="BG627" s="60" t="str">
        <f t="shared" si="19"/>
        <v/>
      </c>
    </row>
    <row r="628" spans="55:59" hidden="1" x14ac:dyDescent="0.25">
      <c r="BC628" s="60" t="str">
        <f t="shared" si="18"/>
        <v/>
      </c>
      <c r="BD628" s="60">
        <v>366</v>
      </c>
      <c r="BG628" s="60" t="str">
        <f t="shared" si="19"/>
        <v/>
      </c>
    </row>
    <row r="629" spans="55:59" hidden="1" x14ac:dyDescent="0.25">
      <c r="BC629" s="60" t="str">
        <f t="shared" si="18"/>
        <v/>
      </c>
      <c r="BD629" s="60">
        <v>367</v>
      </c>
      <c r="BG629" s="60" t="str">
        <f t="shared" si="19"/>
        <v/>
      </c>
    </row>
    <row r="630" spans="55:59" hidden="1" x14ac:dyDescent="0.25">
      <c r="BC630" s="60" t="str">
        <f t="shared" si="18"/>
        <v/>
      </c>
      <c r="BD630" s="60">
        <v>368</v>
      </c>
      <c r="BG630" s="60" t="str">
        <f t="shared" si="19"/>
        <v/>
      </c>
    </row>
    <row r="631" spans="55:59" hidden="1" x14ac:dyDescent="0.25">
      <c r="BC631" s="60" t="str">
        <f t="shared" si="18"/>
        <v/>
      </c>
      <c r="BD631" s="60">
        <v>369</v>
      </c>
      <c r="BG631" s="60" t="str">
        <f t="shared" si="19"/>
        <v/>
      </c>
    </row>
    <row r="632" spans="55:59" hidden="1" x14ac:dyDescent="0.25">
      <c r="BC632" s="60" t="str">
        <f t="shared" si="18"/>
        <v/>
      </c>
      <c r="BD632" s="60">
        <v>370</v>
      </c>
      <c r="BG632" s="60" t="str">
        <f t="shared" si="19"/>
        <v/>
      </c>
    </row>
    <row r="633" spans="55:59" hidden="1" x14ac:dyDescent="0.25">
      <c r="BC633" s="60" t="str">
        <f t="shared" si="18"/>
        <v/>
      </c>
      <c r="BD633" s="60">
        <v>371</v>
      </c>
      <c r="BG633" s="60" t="str">
        <f t="shared" si="19"/>
        <v/>
      </c>
    </row>
    <row r="634" spans="55:59" hidden="1" x14ac:dyDescent="0.25">
      <c r="BC634" s="60" t="str">
        <f t="shared" si="18"/>
        <v/>
      </c>
      <c r="BD634" s="60">
        <v>372</v>
      </c>
      <c r="BG634" s="60" t="str">
        <f t="shared" si="19"/>
        <v/>
      </c>
    </row>
    <row r="635" spans="55:59" hidden="1" x14ac:dyDescent="0.25">
      <c r="BC635" s="60" t="str">
        <f t="shared" si="18"/>
        <v/>
      </c>
      <c r="BD635" s="60">
        <v>373</v>
      </c>
      <c r="BG635" s="60" t="str">
        <f t="shared" si="19"/>
        <v/>
      </c>
    </row>
    <row r="636" spans="55:59" hidden="1" x14ac:dyDescent="0.25">
      <c r="BC636" s="60" t="str">
        <f t="shared" si="18"/>
        <v/>
      </c>
      <c r="BD636" s="60">
        <v>374</v>
      </c>
      <c r="BG636" s="60" t="str">
        <f t="shared" si="19"/>
        <v/>
      </c>
    </row>
    <row r="637" spans="55:59" hidden="1" x14ac:dyDescent="0.25">
      <c r="BC637" s="60" t="str">
        <f t="shared" si="18"/>
        <v/>
      </c>
      <c r="BD637" s="60">
        <v>375</v>
      </c>
      <c r="BG637" s="60" t="str">
        <f t="shared" si="19"/>
        <v/>
      </c>
    </row>
    <row r="638" spans="55:59" hidden="1" x14ac:dyDescent="0.25">
      <c r="BC638" s="60" t="str">
        <f t="shared" si="18"/>
        <v/>
      </c>
      <c r="BD638" s="60">
        <v>376</v>
      </c>
      <c r="BG638" s="60" t="str">
        <f t="shared" si="19"/>
        <v/>
      </c>
    </row>
    <row r="639" spans="55:59" hidden="1" x14ac:dyDescent="0.25">
      <c r="BC639" s="60" t="str">
        <f t="shared" si="18"/>
        <v/>
      </c>
      <c r="BD639" s="60">
        <v>377</v>
      </c>
      <c r="BG639" s="60" t="str">
        <f t="shared" si="19"/>
        <v/>
      </c>
    </row>
    <row r="640" spans="55:59" hidden="1" x14ac:dyDescent="0.25">
      <c r="BC640" s="60" t="str">
        <f t="shared" si="18"/>
        <v/>
      </c>
      <c r="BD640" s="60">
        <v>378</v>
      </c>
      <c r="BG640" s="60" t="str">
        <f t="shared" si="19"/>
        <v/>
      </c>
    </row>
    <row r="641" spans="55:59" hidden="1" x14ac:dyDescent="0.25">
      <c r="BC641" s="60" t="str">
        <f t="shared" si="18"/>
        <v/>
      </c>
      <c r="BD641" s="60">
        <v>379</v>
      </c>
      <c r="BG641" s="60" t="str">
        <f t="shared" si="19"/>
        <v/>
      </c>
    </row>
    <row r="642" spans="55:59" hidden="1" x14ac:dyDescent="0.25">
      <c r="BC642" s="60" t="str">
        <f t="shared" si="18"/>
        <v/>
      </c>
      <c r="BD642" s="60">
        <v>380</v>
      </c>
      <c r="BG642" s="60" t="str">
        <f t="shared" si="19"/>
        <v/>
      </c>
    </row>
    <row r="643" spans="55:59" hidden="1" x14ac:dyDescent="0.25">
      <c r="BC643" s="60" t="str">
        <f t="shared" si="18"/>
        <v/>
      </c>
      <c r="BD643" s="60">
        <v>381</v>
      </c>
      <c r="BG643" s="60" t="str">
        <f t="shared" si="19"/>
        <v/>
      </c>
    </row>
    <row r="644" spans="55:59" hidden="1" x14ac:dyDescent="0.25">
      <c r="BC644" s="60" t="str">
        <f t="shared" si="18"/>
        <v/>
      </c>
      <c r="BD644" s="60">
        <v>382</v>
      </c>
      <c r="BG644" s="60" t="str">
        <f t="shared" si="19"/>
        <v/>
      </c>
    </row>
    <row r="645" spans="55:59" hidden="1" x14ac:dyDescent="0.25">
      <c r="BC645" s="60" t="str">
        <f t="shared" si="18"/>
        <v/>
      </c>
      <c r="BD645" s="60">
        <v>383</v>
      </c>
      <c r="BG645" s="60" t="str">
        <f t="shared" si="19"/>
        <v/>
      </c>
    </row>
    <row r="646" spans="55:59" hidden="1" x14ac:dyDescent="0.25">
      <c r="BC646" s="60" t="str">
        <f t="shared" si="18"/>
        <v/>
      </c>
      <c r="BD646" s="60">
        <v>384</v>
      </c>
      <c r="BG646" s="60" t="str">
        <f t="shared" si="19"/>
        <v/>
      </c>
    </row>
    <row r="647" spans="55:59" hidden="1" x14ac:dyDescent="0.25">
      <c r="BC647" s="60" t="str">
        <f t="shared" si="18"/>
        <v/>
      </c>
      <c r="BD647" s="60">
        <v>385</v>
      </c>
      <c r="BG647" s="60" t="str">
        <f t="shared" si="19"/>
        <v/>
      </c>
    </row>
    <row r="648" spans="55:59" hidden="1" x14ac:dyDescent="0.25">
      <c r="BC648" s="60" t="str">
        <f t="shared" si="18"/>
        <v/>
      </c>
      <c r="BD648" s="60">
        <v>386</v>
      </c>
      <c r="BG648" s="60" t="str">
        <f t="shared" si="19"/>
        <v/>
      </c>
    </row>
    <row r="649" spans="55:59" hidden="1" x14ac:dyDescent="0.25">
      <c r="BC649" s="60" t="str">
        <f t="shared" si="18"/>
        <v/>
      </c>
      <c r="BD649" s="60">
        <v>387</v>
      </c>
      <c r="BG649" s="60" t="str">
        <f t="shared" si="19"/>
        <v/>
      </c>
    </row>
    <row r="650" spans="55:59" hidden="1" x14ac:dyDescent="0.25">
      <c r="BC650" s="60" t="str">
        <f t="shared" si="18"/>
        <v/>
      </c>
      <c r="BD650" s="60">
        <v>388</v>
      </c>
      <c r="BG650" s="60" t="str">
        <f t="shared" si="19"/>
        <v/>
      </c>
    </row>
    <row r="651" spans="55:59" hidden="1" x14ac:dyDescent="0.25">
      <c r="BC651" s="60" t="str">
        <f t="shared" si="18"/>
        <v/>
      </c>
      <c r="BD651" s="60">
        <v>389</v>
      </c>
      <c r="BG651" s="60" t="str">
        <f t="shared" si="19"/>
        <v/>
      </c>
    </row>
    <row r="652" spans="55:59" hidden="1" x14ac:dyDescent="0.25">
      <c r="BC652" s="60" t="str">
        <f t="shared" si="18"/>
        <v/>
      </c>
      <c r="BD652" s="60">
        <v>390</v>
      </c>
      <c r="BG652" s="60" t="str">
        <f t="shared" si="19"/>
        <v/>
      </c>
    </row>
    <row r="653" spans="55:59" hidden="1" x14ac:dyDescent="0.25">
      <c r="BC653" s="60" t="str">
        <f t="shared" si="18"/>
        <v/>
      </c>
      <c r="BD653" s="60">
        <v>391</v>
      </c>
      <c r="BG653" s="60" t="str">
        <f t="shared" si="19"/>
        <v/>
      </c>
    </row>
    <row r="654" spans="55:59" hidden="1" x14ac:dyDescent="0.25">
      <c r="BC654" s="60" t="str">
        <f t="shared" si="18"/>
        <v/>
      </c>
      <c r="BD654" s="60">
        <v>392</v>
      </c>
      <c r="BG654" s="60" t="str">
        <f t="shared" si="19"/>
        <v/>
      </c>
    </row>
    <row r="655" spans="55:59" hidden="1" x14ac:dyDescent="0.25">
      <c r="BC655" s="60" t="str">
        <f t="shared" si="18"/>
        <v/>
      </c>
      <c r="BD655" s="60">
        <v>393</v>
      </c>
      <c r="BG655" s="60" t="str">
        <f t="shared" si="19"/>
        <v/>
      </c>
    </row>
    <row r="656" spans="55:59" hidden="1" x14ac:dyDescent="0.25">
      <c r="BC656" s="60" t="str">
        <f t="shared" si="18"/>
        <v/>
      </c>
      <c r="BD656" s="60">
        <v>394</v>
      </c>
      <c r="BG656" s="60" t="str">
        <f t="shared" si="19"/>
        <v/>
      </c>
    </row>
    <row r="657" spans="55:59" hidden="1" x14ac:dyDescent="0.25">
      <c r="BC657" s="60" t="str">
        <f t="shared" si="18"/>
        <v/>
      </c>
      <c r="BD657" s="60">
        <v>395</v>
      </c>
      <c r="BG657" s="60" t="str">
        <f t="shared" si="19"/>
        <v/>
      </c>
    </row>
    <row r="658" spans="55:59" hidden="1" x14ac:dyDescent="0.25">
      <c r="BC658" s="60" t="str">
        <f t="shared" si="18"/>
        <v/>
      </c>
      <c r="BD658" s="60">
        <v>396</v>
      </c>
      <c r="BG658" s="60" t="str">
        <f t="shared" si="19"/>
        <v/>
      </c>
    </row>
    <row r="659" spans="55:59" hidden="1" x14ac:dyDescent="0.25">
      <c r="BC659" s="60" t="str">
        <f t="shared" si="18"/>
        <v/>
      </c>
      <c r="BD659" s="60">
        <v>397</v>
      </c>
      <c r="BG659" s="60" t="str">
        <f t="shared" si="19"/>
        <v/>
      </c>
    </row>
    <row r="660" spans="55:59" hidden="1" x14ac:dyDescent="0.25">
      <c r="BC660" s="60" t="str">
        <f t="shared" si="18"/>
        <v/>
      </c>
      <c r="BD660" s="60">
        <v>398</v>
      </c>
      <c r="BG660" s="60" t="str">
        <f t="shared" si="19"/>
        <v/>
      </c>
    </row>
    <row r="661" spans="55:59" hidden="1" x14ac:dyDescent="0.25">
      <c r="BC661" s="60" t="str">
        <f t="shared" si="18"/>
        <v/>
      </c>
      <c r="BD661" s="60">
        <v>399</v>
      </c>
      <c r="BG661" s="60" t="str">
        <f t="shared" si="19"/>
        <v/>
      </c>
    </row>
    <row r="662" spans="55:59" hidden="1" x14ac:dyDescent="0.25">
      <c r="BC662" s="60" t="str">
        <f t="shared" si="18"/>
        <v/>
      </c>
      <c r="BD662" s="60">
        <v>400</v>
      </c>
      <c r="BG662" s="60" t="str">
        <f t="shared" si="19"/>
        <v/>
      </c>
    </row>
    <row r="663" spans="55:59" hidden="1" x14ac:dyDescent="0.25">
      <c r="BC663" s="60" t="str">
        <f t="shared" si="18"/>
        <v/>
      </c>
      <c r="BD663" s="60">
        <v>401</v>
      </c>
      <c r="BG663" s="60" t="str">
        <f t="shared" si="19"/>
        <v/>
      </c>
    </row>
    <row r="664" spans="55:59" hidden="1" x14ac:dyDescent="0.25">
      <c r="BC664" s="60" t="str">
        <f t="shared" si="18"/>
        <v/>
      </c>
      <c r="BD664" s="60">
        <v>402</v>
      </c>
      <c r="BG664" s="60" t="str">
        <f t="shared" si="19"/>
        <v/>
      </c>
    </row>
    <row r="665" spans="55:59" hidden="1" x14ac:dyDescent="0.25">
      <c r="BC665" s="60" t="str">
        <f t="shared" ref="BC665:BC728" si="20">IF(BC664&lt;&gt;"", IF(BC664&lt;$AQ$319, BC664+1, ""), "")</f>
        <v/>
      </c>
      <c r="BD665" s="60">
        <v>403</v>
      </c>
      <c r="BG665" s="60" t="str">
        <f t="shared" ref="BG665:BG728" si="21">IF(BG664 &lt;&gt; "", IF(BG664+$AT$321 &lt;= $AR$322, BG664+$AT$321, ""), "")</f>
        <v/>
      </c>
    </row>
    <row r="666" spans="55:59" hidden="1" x14ac:dyDescent="0.25">
      <c r="BC666" s="60" t="str">
        <f t="shared" si="20"/>
        <v/>
      </c>
      <c r="BD666" s="60">
        <v>404</v>
      </c>
      <c r="BG666" s="60" t="str">
        <f t="shared" si="21"/>
        <v/>
      </c>
    </row>
    <row r="667" spans="55:59" hidden="1" x14ac:dyDescent="0.25">
      <c r="BC667" s="60" t="str">
        <f t="shared" si="20"/>
        <v/>
      </c>
      <c r="BD667" s="60">
        <v>405</v>
      </c>
      <c r="BG667" s="60" t="str">
        <f t="shared" si="21"/>
        <v/>
      </c>
    </row>
    <row r="668" spans="55:59" hidden="1" x14ac:dyDescent="0.25">
      <c r="BC668" s="60" t="str">
        <f t="shared" si="20"/>
        <v/>
      </c>
      <c r="BD668" s="60">
        <v>406</v>
      </c>
      <c r="BG668" s="60" t="str">
        <f t="shared" si="21"/>
        <v/>
      </c>
    </row>
    <row r="669" spans="55:59" hidden="1" x14ac:dyDescent="0.25">
      <c r="BC669" s="60" t="str">
        <f t="shared" si="20"/>
        <v/>
      </c>
      <c r="BD669" s="60">
        <v>407</v>
      </c>
      <c r="BG669" s="60" t="str">
        <f t="shared" si="21"/>
        <v/>
      </c>
    </row>
    <row r="670" spans="55:59" hidden="1" x14ac:dyDescent="0.25">
      <c r="BC670" s="60" t="str">
        <f t="shared" si="20"/>
        <v/>
      </c>
      <c r="BD670" s="60">
        <v>408</v>
      </c>
      <c r="BG670" s="60" t="str">
        <f t="shared" si="21"/>
        <v/>
      </c>
    </row>
    <row r="671" spans="55:59" hidden="1" x14ac:dyDescent="0.25">
      <c r="BC671" s="60" t="str">
        <f t="shared" si="20"/>
        <v/>
      </c>
      <c r="BD671" s="60">
        <v>409</v>
      </c>
      <c r="BG671" s="60" t="str">
        <f t="shared" si="21"/>
        <v/>
      </c>
    </row>
    <row r="672" spans="55:59" hidden="1" x14ac:dyDescent="0.25">
      <c r="BC672" s="60" t="str">
        <f t="shared" si="20"/>
        <v/>
      </c>
      <c r="BD672" s="60">
        <v>410</v>
      </c>
      <c r="BG672" s="60" t="str">
        <f t="shared" si="21"/>
        <v/>
      </c>
    </row>
    <row r="673" spans="55:59" hidden="1" x14ac:dyDescent="0.25">
      <c r="BC673" s="60" t="str">
        <f t="shared" si="20"/>
        <v/>
      </c>
      <c r="BD673" s="60">
        <v>411</v>
      </c>
      <c r="BG673" s="60" t="str">
        <f t="shared" si="21"/>
        <v/>
      </c>
    </row>
    <row r="674" spans="55:59" hidden="1" x14ac:dyDescent="0.25">
      <c r="BC674" s="60" t="str">
        <f t="shared" si="20"/>
        <v/>
      </c>
      <c r="BD674" s="60">
        <v>412</v>
      </c>
      <c r="BG674" s="60" t="str">
        <f t="shared" si="21"/>
        <v/>
      </c>
    </row>
    <row r="675" spans="55:59" hidden="1" x14ac:dyDescent="0.25">
      <c r="BC675" s="60" t="str">
        <f t="shared" si="20"/>
        <v/>
      </c>
      <c r="BD675" s="60">
        <v>413</v>
      </c>
      <c r="BG675" s="60" t="str">
        <f t="shared" si="21"/>
        <v/>
      </c>
    </row>
    <row r="676" spans="55:59" hidden="1" x14ac:dyDescent="0.25">
      <c r="BC676" s="60" t="str">
        <f t="shared" si="20"/>
        <v/>
      </c>
      <c r="BD676" s="60">
        <v>414</v>
      </c>
      <c r="BG676" s="60" t="str">
        <f t="shared" si="21"/>
        <v/>
      </c>
    </row>
    <row r="677" spans="55:59" hidden="1" x14ac:dyDescent="0.25">
      <c r="BC677" s="60" t="str">
        <f t="shared" si="20"/>
        <v/>
      </c>
      <c r="BD677" s="60">
        <v>415</v>
      </c>
      <c r="BG677" s="60" t="str">
        <f t="shared" si="21"/>
        <v/>
      </c>
    </row>
    <row r="678" spans="55:59" hidden="1" x14ac:dyDescent="0.25">
      <c r="BC678" s="60" t="str">
        <f t="shared" si="20"/>
        <v/>
      </c>
      <c r="BD678" s="60">
        <v>416</v>
      </c>
      <c r="BG678" s="60" t="str">
        <f t="shared" si="21"/>
        <v/>
      </c>
    </row>
    <row r="679" spans="55:59" hidden="1" x14ac:dyDescent="0.25">
      <c r="BC679" s="60" t="str">
        <f t="shared" si="20"/>
        <v/>
      </c>
      <c r="BD679" s="60">
        <v>417</v>
      </c>
      <c r="BG679" s="60" t="str">
        <f t="shared" si="21"/>
        <v/>
      </c>
    </row>
    <row r="680" spans="55:59" hidden="1" x14ac:dyDescent="0.25">
      <c r="BC680" s="60" t="str">
        <f t="shared" si="20"/>
        <v/>
      </c>
      <c r="BD680" s="60">
        <v>418</v>
      </c>
      <c r="BG680" s="60" t="str">
        <f t="shared" si="21"/>
        <v/>
      </c>
    </row>
    <row r="681" spans="55:59" hidden="1" x14ac:dyDescent="0.25">
      <c r="BC681" s="60" t="str">
        <f t="shared" si="20"/>
        <v/>
      </c>
      <c r="BD681" s="60">
        <v>419</v>
      </c>
      <c r="BG681" s="60" t="str">
        <f t="shared" si="21"/>
        <v/>
      </c>
    </row>
    <row r="682" spans="55:59" hidden="1" x14ac:dyDescent="0.25">
      <c r="BC682" s="60" t="str">
        <f t="shared" si="20"/>
        <v/>
      </c>
      <c r="BD682" s="60">
        <v>420</v>
      </c>
      <c r="BG682" s="60" t="str">
        <f t="shared" si="21"/>
        <v/>
      </c>
    </row>
    <row r="683" spans="55:59" hidden="1" x14ac:dyDescent="0.25">
      <c r="BC683" s="60" t="str">
        <f t="shared" si="20"/>
        <v/>
      </c>
      <c r="BD683" s="60">
        <v>421</v>
      </c>
      <c r="BG683" s="60" t="str">
        <f t="shared" si="21"/>
        <v/>
      </c>
    </row>
    <row r="684" spans="55:59" hidden="1" x14ac:dyDescent="0.25">
      <c r="BC684" s="60" t="str">
        <f t="shared" si="20"/>
        <v/>
      </c>
      <c r="BD684" s="60">
        <v>422</v>
      </c>
      <c r="BG684" s="60" t="str">
        <f t="shared" si="21"/>
        <v/>
      </c>
    </row>
    <row r="685" spans="55:59" hidden="1" x14ac:dyDescent="0.25">
      <c r="BC685" s="60" t="str">
        <f t="shared" si="20"/>
        <v/>
      </c>
      <c r="BD685" s="60">
        <v>423</v>
      </c>
      <c r="BG685" s="60" t="str">
        <f t="shared" si="21"/>
        <v/>
      </c>
    </row>
    <row r="686" spans="55:59" hidden="1" x14ac:dyDescent="0.25">
      <c r="BC686" s="60" t="str">
        <f t="shared" si="20"/>
        <v/>
      </c>
      <c r="BD686" s="60">
        <v>424</v>
      </c>
      <c r="BG686" s="60" t="str">
        <f t="shared" si="21"/>
        <v/>
      </c>
    </row>
    <row r="687" spans="55:59" hidden="1" x14ac:dyDescent="0.25">
      <c r="BC687" s="60" t="str">
        <f t="shared" si="20"/>
        <v/>
      </c>
      <c r="BD687" s="60">
        <v>425</v>
      </c>
      <c r="BG687" s="60" t="str">
        <f t="shared" si="21"/>
        <v/>
      </c>
    </row>
    <row r="688" spans="55:59" hidden="1" x14ac:dyDescent="0.25">
      <c r="BC688" s="60" t="str">
        <f t="shared" si="20"/>
        <v/>
      </c>
      <c r="BD688" s="60">
        <v>426</v>
      </c>
      <c r="BG688" s="60" t="str">
        <f t="shared" si="21"/>
        <v/>
      </c>
    </row>
    <row r="689" spans="55:59" hidden="1" x14ac:dyDescent="0.25">
      <c r="BC689" s="60" t="str">
        <f t="shared" si="20"/>
        <v/>
      </c>
      <c r="BD689" s="60">
        <v>427</v>
      </c>
      <c r="BG689" s="60" t="str">
        <f t="shared" si="21"/>
        <v/>
      </c>
    </row>
    <row r="690" spans="55:59" hidden="1" x14ac:dyDescent="0.25">
      <c r="BC690" s="60" t="str">
        <f t="shared" si="20"/>
        <v/>
      </c>
      <c r="BD690" s="60">
        <v>428</v>
      </c>
      <c r="BG690" s="60" t="str">
        <f t="shared" si="21"/>
        <v/>
      </c>
    </row>
    <row r="691" spans="55:59" hidden="1" x14ac:dyDescent="0.25">
      <c r="BC691" s="60" t="str">
        <f t="shared" si="20"/>
        <v/>
      </c>
      <c r="BD691" s="60">
        <v>429</v>
      </c>
      <c r="BG691" s="60" t="str">
        <f t="shared" si="21"/>
        <v/>
      </c>
    </row>
    <row r="692" spans="55:59" hidden="1" x14ac:dyDescent="0.25">
      <c r="BC692" s="60" t="str">
        <f t="shared" si="20"/>
        <v/>
      </c>
      <c r="BD692" s="60">
        <v>430</v>
      </c>
      <c r="BG692" s="60" t="str">
        <f t="shared" si="21"/>
        <v/>
      </c>
    </row>
    <row r="693" spans="55:59" hidden="1" x14ac:dyDescent="0.25">
      <c r="BC693" s="60" t="str">
        <f t="shared" si="20"/>
        <v/>
      </c>
      <c r="BD693" s="60">
        <v>431</v>
      </c>
      <c r="BG693" s="60" t="str">
        <f t="shared" si="21"/>
        <v/>
      </c>
    </row>
    <row r="694" spans="55:59" hidden="1" x14ac:dyDescent="0.25">
      <c r="BC694" s="60" t="str">
        <f t="shared" si="20"/>
        <v/>
      </c>
      <c r="BD694" s="60">
        <v>432</v>
      </c>
      <c r="BG694" s="60" t="str">
        <f t="shared" si="21"/>
        <v/>
      </c>
    </row>
    <row r="695" spans="55:59" hidden="1" x14ac:dyDescent="0.25">
      <c r="BC695" s="60" t="str">
        <f t="shared" si="20"/>
        <v/>
      </c>
      <c r="BD695" s="60">
        <v>433</v>
      </c>
      <c r="BG695" s="60" t="str">
        <f t="shared" si="21"/>
        <v/>
      </c>
    </row>
    <row r="696" spans="55:59" hidden="1" x14ac:dyDescent="0.25">
      <c r="BC696" s="60" t="str">
        <f t="shared" si="20"/>
        <v/>
      </c>
      <c r="BD696" s="60">
        <v>434</v>
      </c>
      <c r="BG696" s="60" t="str">
        <f t="shared" si="21"/>
        <v/>
      </c>
    </row>
    <row r="697" spans="55:59" hidden="1" x14ac:dyDescent="0.25">
      <c r="BC697" s="60" t="str">
        <f t="shared" si="20"/>
        <v/>
      </c>
      <c r="BD697" s="60">
        <v>435</v>
      </c>
      <c r="BG697" s="60" t="str">
        <f t="shared" si="21"/>
        <v/>
      </c>
    </row>
    <row r="698" spans="55:59" hidden="1" x14ac:dyDescent="0.25">
      <c r="BC698" s="60" t="str">
        <f t="shared" si="20"/>
        <v/>
      </c>
      <c r="BD698" s="60">
        <v>436</v>
      </c>
      <c r="BG698" s="60" t="str">
        <f t="shared" si="21"/>
        <v/>
      </c>
    </row>
    <row r="699" spans="55:59" hidden="1" x14ac:dyDescent="0.25">
      <c r="BC699" s="60" t="str">
        <f t="shared" si="20"/>
        <v/>
      </c>
      <c r="BD699" s="60">
        <v>437</v>
      </c>
      <c r="BG699" s="60" t="str">
        <f t="shared" si="21"/>
        <v/>
      </c>
    </row>
    <row r="700" spans="55:59" hidden="1" x14ac:dyDescent="0.25">
      <c r="BC700" s="60" t="str">
        <f t="shared" si="20"/>
        <v/>
      </c>
      <c r="BD700" s="60">
        <v>438</v>
      </c>
      <c r="BG700" s="60" t="str">
        <f t="shared" si="21"/>
        <v/>
      </c>
    </row>
    <row r="701" spans="55:59" hidden="1" x14ac:dyDescent="0.25">
      <c r="BC701" s="60" t="str">
        <f t="shared" si="20"/>
        <v/>
      </c>
      <c r="BD701" s="60">
        <v>439</v>
      </c>
      <c r="BG701" s="60" t="str">
        <f t="shared" si="21"/>
        <v/>
      </c>
    </row>
    <row r="702" spans="55:59" hidden="1" x14ac:dyDescent="0.25">
      <c r="BC702" s="60" t="str">
        <f t="shared" si="20"/>
        <v/>
      </c>
      <c r="BD702" s="60">
        <v>440</v>
      </c>
      <c r="BG702" s="60" t="str">
        <f t="shared" si="21"/>
        <v/>
      </c>
    </row>
    <row r="703" spans="55:59" hidden="1" x14ac:dyDescent="0.25">
      <c r="BC703" s="60" t="str">
        <f t="shared" si="20"/>
        <v/>
      </c>
      <c r="BD703" s="60">
        <v>441</v>
      </c>
      <c r="BG703" s="60" t="str">
        <f t="shared" si="21"/>
        <v/>
      </c>
    </row>
    <row r="704" spans="55:59" hidden="1" x14ac:dyDescent="0.25">
      <c r="BC704" s="60" t="str">
        <f t="shared" si="20"/>
        <v/>
      </c>
      <c r="BD704" s="60">
        <v>442</v>
      </c>
      <c r="BG704" s="60" t="str">
        <f t="shared" si="21"/>
        <v/>
      </c>
    </row>
    <row r="705" spans="55:59" hidden="1" x14ac:dyDescent="0.25">
      <c r="BC705" s="60" t="str">
        <f t="shared" si="20"/>
        <v/>
      </c>
      <c r="BD705" s="60">
        <v>443</v>
      </c>
      <c r="BG705" s="60" t="str">
        <f t="shared" si="21"/>
        <v/>
      </c>
    </row>
    <row r="706" spans="55:59" hidden="1" x14ac:dyDescent="0.25">
      <c r="BC706" s="60" t="str">
        <f t="shared" si="20"/>
        <v/>
      </c>
      <c r="BD706" s="60">
        <v>444</v>
      </c>
      <c r="BG706" s="60" t="str">
        <f t="shared" si="21"/>
        <v/>
      </c>
    </row>
    <row r="707" spans="55:59" hidden="1" x14ac:dyDescent="0.25">
      <c r="BC707" s="60" t="str">
        <f t="shared" si="20"/>
        <v/>
      </c>
      <c r="BD707" s="60">
        <v>445</v>
      </c>
      <c r="BG707" s="60" t="str">
        <f t="shared" si="21"/>
        <v/>
      </c>
    </row>
    <row r="708" spans="55:59" hidden="1" x14ac:dyDescent="0.25">
      <c r="BC708" s="60" t="str">
        <f t="shared" si="20"/>
        <v/>
      </c>
      <c r="BD708" s="60">
        <v>446</v>
      </c>
      <c r="BG708" s="60" t="str">
        <f t="shared" si="21"/>
        <v/>
      </c>
    </row>
    <row r="709" spans="55:59" hidden="1" x14ac:dyDescent="0.25">
      <c r="BC709" s="60" t="str">
        <f t="shared" si="20"/>
        <v/>
      </c>
      <c r="BD709" s="60">
        <v>447</v>
      </c>
      <c r="BG709" s="60" t="str">
        <f t="shared" si="21"/>
        <v/>
      </c>
    </row>
    <row r="710" spans="55:59" hidden="1" x14ac:dyDescent="0.25">
      <c r="BC710" s="60" t="str">
        <f t="shared" si="20"/>
        <v/>
      </c>
      <c r="BD710" s="60">
        <v>448</v>
      </c>
      <c r="BG710" s="60" t="str">
        <f t="shared" si="21"/>
        <v/>
      </c>
    </row>
    <row r="711" spans="55:59" hidden="1" x14ac:dyDescent="0.25">
      <c r="BC711" s="60" t="str">
        <f t="shared" si="20"/>
        <v/>
      </c>
      <c r="BD711" s="60">
        <v>449</v>
      </c>
      <c r="BG711" s="60" t="str">
        <f t="shared" si="21"/>
        <v/>
      </c>
    </row>
    <row r="712" spans="55:59" hidden="1" x14ac:dyDescent="0.25">
      <c r="BC712" s="60" t="str">
        <f t="shared" si="20"/>
        <v/>
      </c>
      <c r="BD712" s="60">
        <v>450</v>
      </c>
      <c r="BG712" s="60" t="str">
        <f t="shared" si="21"/>
        <v/>
      </c>
    </row>
    <row r="713" spans="55:59" hidden="1" x14ac:dyDescent="0.25">
      <c r="BC713" s="60" t="str">
        <f t="shared" si="20"/>
        <v/>
      </c>
      <c r="BD713" s="60">
        <v>451</v>
      </c>
      <c r="BG713" s="60" t="str">
        <f t="shared" si="21"/>
        <v/>
      </c>
    </row>
    <row r="714" spans="55:59" hidden="1" x14ac:dyDescent="0.25">
      <c r="BC714" s="60" t="str">
        <f t="shared" si="20"/>
        <v/>
      </c>
      <c r="BD714" s="60">
        <v>452</v>
      </c>
      <c r="BG714" s="60" t="str">
        <f t="shared" si="21"/>
        <v/>
      </c>
    </row>
    <row r="715" spans="55:59" hidden="1" x14ac:dyDescent="0.25">
      <c r="BC715" s="60" t="str">
        <f t="shared" si="20"/>
        <v/>
      </c>
      <c r="BD715" s="60">
        <v>453</v>
      </c>
      <c r="BG715" s="60" t="str">
        <f t="shared" si="21"/>
        <v/>
      </c>
    </row>
    <row r="716" spans="55:59" hidden="1" x14ac:dyDescent="0.25">
      <c r="BC716" s="60" t="str">
        <f t="shared" si="20"/>
        <v/>
      </c>
      <c r="BD716" s="60">
        <v>454</v>
      </c>
      <c r="BG716" s="60" t="str">
        <f t="shared" si="21"/>
        <v/>
      </c>
    </row>
    <row r="717" spans="55:59" hidden="1" x14ac:dyDescent="0.25">
      <c r="BC717" s="60" t="str">
        <f t="shared" si="20"/>
        <v/>
      </c>
      <c r="BD717" s="60">
        <v>455</v>
      </c>
      <c r="BG717" s="60" t="str">
        <f t="shared" si="21"/>
        <v/>
      </c>
    </row>
    <row r="718" spans="55:59" hidden="1" x14ac:dyDescent="0.25">
      <c r="BC718" s="60" t="str">
        <f t="shared" si="20"/>
        <v/>
      </c>
      <c r="BD718" s="60">
        <v>456</v>
      </c>
      <c r="BG718" s="60" t="str">
        <f t="shared" si="21"/>
        <v/>
      </c>
    </row>
    <row r="719" spans="55:59" hidden="1" x14ac:dyDescent="0.25">
      <c r="BC719" s="60" t="str">
        <f t="shared" si="20"/>
        <v/>
      </c>
      <c r="BD719" s="60">
        <v>457</v>
      </c>
      <c r="BG719" s="60" t="str">
        <f t="shared" si="21"/>
        <v/>
      </c>
    </row>
    <row r="720" spans="55:59" hidden="1" x14ac:dyDescent="0.25">
      <c r="BC720" s="60" t="str">
        <f t="shared" si="20"/>
        <v/>
      </c>
      <c r="BD720" s="60">
        <v>458</v>
      </c>
      <c r="BG720" s="60" t="str">
        <f t="shared" si="21"/>
        <v/>
      </c>
    </row>
    <row r="721" spans="55:59" hidden="1" x14ac:dyDescent="0.25">
      <c r="BC721" s="60" t="str">
        <f t="shared" si="20"/>
        <v/>
      </c>
      <c r="BD721" s="60">
        <v>459</v>
      </c>
      <c r="BG721" s="60" t="str">
        <f t="shared" si="21"/>
        <v/>
      </c>
    </row>
    <row r="722" spans="55:59" hidden="1" x14ac:dyDescent="0.25">
      <c r="BC722" s="60" t="str">
        <f t="shared" si="20"/>
        <v/>
      </c>
      <c r="BD722" s="60">
        <v>460</v>
      </c>
      <c r="BG722" s="60" t="str">
        <f t="shared" si="21"/>
        <v/>
      </c>
    </row>
    <row r="723" spans="55:59" hidden="1" x14ac:dyDescent="0.25">
      <c r="BC723" s="60" t="str">
        <f t="shared" si="20"/>
        <v/>
      </c>
      <c r="BD723" s="60">
        <v>461</v>
      </c>
      <c r="BG723" s="60" t="str">
        <f t="shared" si="21"/>
        <v/>
      </c>
    </row>
    <row r="724" spans="55:59" hidden="1" x14ac:dyDescent="0.25">
      <c r="BC724" s="60" t="str">
        <f t="shared" si="20"/>
        <v/>
      </c>
      <c r="BD724" s="60">
        <v>462</v>
      </c>
      <c r="BG724" s="60" t="str">
        <f t="shared" si="21"/>
        <v/>
      </c>
    </row>
    <row r="725" spans="55:59" hidden="1" x14ac:dyDescent="0.25">
      <c r="BC725" s="60" t="str">
        <f t="shared" si="20"/>
        <v/>
      </c>
      <c r="BD725" s="60">
        <v>463</v>
      </c>
      <c r="BG725" s="60" t="str">
        <f t="shared" si="21"/>
        <v/>
      </c>
    </row>
    <row r="726" spans="55:59" hidden="1" x14ac:dyDescent="0.25">
      <c r="BC726" s="60" t="str">
        <f t="shared" si="20"/>
        <v/>
      </c>
      <c r="BD726" s="60">
        <v>464</v>
      </c>
      <c r="BG726" s="60" t="str">
        <f t="shared" si="21"/>
        <v/>
      </c>
    </row>
    <row r="727" spans="55:59" hidden="1" x14ac:dyDescent="0.25">
      <c r="BC727" s="60" t="str">
        <f t="shared" si="20"/>
        <v/>
      </c>
      <c r="BD727" s="60">
        <v>465</v>
      </c>
      <c r="BG727" s="60" t="str">
        <f t="shared" si="21"/>
        <v/>
      </c>
    </row>
    <row r="728" spans="55:59" hidden="1" x14ac:dyDescent="0.25">
      <c r="BC728" s="60" t="str">
        <f t="shared" si="20"/>
        <v/>
      </c>
      <c r="BD728" s="60">
        <v>466</v>
      </c>
      <c r="BG728" s="60" t="str">
        <f t="shared" si="21"/>
        <v/>
      </c>
    </row>
    <row r="729" spans="55:59" hidden="1" x14ac:dyDescent="0.25">
      <c r="BC729" s="60" t="str">
        <f t="shared" ref="BC729:BC792" si="22">IF(BC728&lt;&gt;"", IF(BC728&lt;$AQ$319, BC728+1, ""), "")</f>
        <v/>
      </c>
      <c r="BD729" s="60">
        <v>467</v>
      </c>
      <c r="BG729" s="60" t="str">
        <f t="shared" ref="BG729:BG792" si="23">IF(BG728 &lt;&gt; "", IF(BG728+$AT$321 &lt;= $AR$322, BG728+$AT$321, ""), "")</f>
        <v/>
      </c>
    </row>
    <row r="730" spans="55:59" hidden="1" x14ac:dyDescent="0.25">
      <c r="BC730" s="60" t="str">
        <f t="shared" si="22"/>
        <v/>
      </c>
      <c r="BD730" s="60">
        <v>468</v>
      </c>
      <c r="BG730" s="60" t="str">
        <f t="shared" si="23"/>
        <v/>
      </c>
    </row>
    <row r="731" spans="55:59" hidden="1" x14ac:dyDescent="0.25">
      <c r="BC731" s="60" t="str">
        <f t="shared" si="22"/>
        <v/>
      </c>
      <c r="BD731" s="60">
        <v>469</v>
      </c>
      <c r="BG731" s="60" t="str">
        <f t="shared" si="23"/>
        <v/>
      </c>
    </row>
    <row r="732" spans="55:59" hidden="1" x14ac:dyDescent="0.25">
      <c r="BC732" s="60" t="str">
        <f t="shared" si="22"/>
        <v/>
      </c>
      <c r="BD732" s="60">
        <v>470</v>
      </c>
      <c r="BG732" s="60" t="str">
        <f t="shared" si="23"/>
        <v/>
      </c>
    </row>
    <row r="733" spans="55:59" hidden="1" x14ac:dyDescent="0.25">
      <c r="BC733" s="60" t="str">
        <f t="shared" si="22"/>
        <v/>
      </c>
      <c r="BD733" s="60">
        <v>471</v>
      </c>
      <c r="BG733" s="60" t="str">
        <f t="shared" si="23"/>
        <v/>
      </c>
    </row>
    <row r="734" spans="55:59" hidden="1" x14ac:dyDescent="0.25">
      <c r="BC734" s="60" t="str">
        <f t="shared" si="22"/>
        <v/>
      </c>
      <c r="BD734" s="60">
        <v>472</v>
      </c>
      <c r="BG734" s="60" t="str">
        <f t="shared" si="23"/>
        <v/>
      </c>
    </row>
    <row r="735" spans="55:59" hidden="1" x14ac:dyDescent="0.25">
      <c r="BC735" s="60" t="str">
        <f t="shared" si="22"/>
        <v/>
      </c>
      <c r="BD735" s="60">
        <v>473</v>
      </c>
      <c r="BG735" s="60" t="str">
        <f t="shared" si="23"/>
        <v/>
      </c>
    </row>
    <row r="736" spans="55:59" hidden="1" x14ac:dyDescent="0.25">
      <c r="BC736" s="60" t="str">
        <f t="shared" si="22"/>
        <v/>
      </c>
      <c r="BD736" s="60">
        <v>474</v>
      </c>
      <c r="BG736" s="60" t="str">
        <f t="shared" si="23"/>
        <v/>
      </c>
    </row>
    <row r="737" spans="55:59" hidden="1" x14ac:dyDescent="0.25">
      <c r="BC737" s="60" t="str">
        <f t="shared" si="22"/>
        <v/>
      </c>
      <c r="BD737" s="60">
        <v>475</v>
      </c>
      <c r="BG737" s="60" t="str">
        <f t="shared" si="23"/>
        <v/>
      </c>
    </row>
    <row r="738" spans="55:59" hidden="1" x14ac:dyDescent="0.25">
      <c r="BC738" s="60" t="str">
        <f t="shared" si="22"/>
        <v/>
      </c>
      <c r="BD738" s="60">
        <v>476</v>
      </c>
      <c r="BG738" s="60" t="str">
        <f t="shared" si="23"/>
        <v/>
      </c>
    </row>
    <row r="739" spans="55:59" hidden="1" x14ac:dyDescent="0.25">
      <c r="BC739" s="60" t="str">
        <f t="shared" si="22"/>
        <v/>
      </c>
      <c r="BD739" s="60">
        <v>477</v>
      </c>
      <c r="BG739" s="60" t="str">
        <f t="shared" si="23"/>
        <v/>
      </c>
    </row>
    <row r="740" spans="55:59" hidden="1" x14ac:dyDescent="0.25">
      <c r="BC740" s="60" t="str">
        <f t="shared" si="22"/>
        <v/>
      </c>
      <c r="BD740" s="60">
        <v>478</v>
      </c>
      <c r="BG740" s="60" t="str">
        <f t="shared" si="23"/>
        <v/>
      </c>
    </row>
    <row r="741" spans="55:59" hidden="1" x14ac:dyDescent="0.25">
      <c r="BC741" s="60" t="str">
        <f t="shared" si="22"/>
        <v/>
      </c>
      <c r="BD741" s="60">
        <v>479</v>
      </c>
      <c r="BG741" s="60" t="str">
        <f t="shared" si="23"/>
        <v/>
      </c>
    </row>
    <row r="742" spans="55:59" hidden="1" x14ac:dyDescent="0.25">
      <c r="BC742" s="60" t="str">
        <f t="shared" si="22"/>
        <v/>
      </c>
      <c r="BD742" s="60">
        <v>480</v>
      </c>
      <c r="BG742" s="60" t="str">
        <f t="shared" si="23"/>
        <v/>
      </c>
    </row>
    <row r="743" spans="55:59" hidden="1" x14ac:dyDescent="0.25">
      <c r="BC743" s="60" t="str">
        <f t="shared" si="22"/>
        <v/>
      </c>
      <c r="BD743" s="60">
        <v>481</v>
      </c>
      <c r="BG743" s="60" t="str">
        <f t="shared" si="23"/>
        <v/>
      </c>
    </row>
    <row r="744" spans="55:59" hidden="1" x14ac:dyDescent="0.25">
      <c r="BC744" s="60" t="str">
        <f t="shared" si="22"/>
        <v/>
      </c>
      <c r="BD744" s="60">
        <v>482</v>
      </c>
      <c r="BG744" s="60" t="str">
        <f t="shared" si="23"/>
        <v/>
      </c>
    </row>
    <row r="745" spans="55:59" hidden="1" x14ac:dyDescent="0.25">
      <c r="BC745" s="60" t="str">
        <f t="shared" si="22"/>
        <v/>
      </c>
      <c r="BD745" s="60">
        <v>483</v>
      </c>
      <c r="BG745" s="60" t="str">
        <f t="shared" si="23"/>
        <v/>
      </c>
    </row>
    <row r="746" spans="55:59" hidden="1" x14ac:dyDescent="0.25">
      <c r="BC746" s="60" t="str">
        <f t="shared" si="22"/>
        <v/>
      </c>
      <c r="BD746" s="60">
        <v>484</v>
      </c>
      <c r="BG746" s="60" t="str">
        <f t="shared" si="23"/>
        <v/>
      </c>
    </row>
    <row r="747" spans="55:59" hidden="1" x14ac:dyDescent="0.25">
      <c r="BC747" s="60" t="str">
        <f t="shared" si="22"/>
        <v/>
      </c>
      <c r="BD747" s="60">
        <v>485</v>
      </c>
      <c r="BG747" s="60" t="str">
        <f t="shared" si="23"/>
        <v/>
      </c>
    </row>
    <row r="748" spans="55:59" hidden="1" x14ac:dyDescent="0.25">
      <c r="BC748" s="60" t="str">
        <f t="shared" si="22"/>
        <v/>
      </c>
      <c r="BD748" s="60">
        <v>486</v>
      </c>
      <c r="BG748" s="60" t="str">
        <f t="shared" si="23"/>
        <v/>
      </c>
    </row>
    <row r="749" spans="55:59" hidden="1" x14ac:dyDescent="0.25">
      <c r="BC749" s="60" t="str">
        <f t="shared" si="22"/>
        <v/>
      </c>
      <c r="BD749" s="60">
        <v>487</v>
      </c>
      <c r="BG749" s="60" t="str">
        <f t="shared" si="23"/>
        <v/>
      </c>
    </row>
    <row r="750" spans="55:59" hidden="1" x14ac:dyDescent="0.25">
      <c r="BC750" s="60" t="str">
        <f t="shared" si="22"/>
        <v/>
      </c>
      <c r="BD750" s="60">
        <v>488</v>
      </c>
      <c r="BG750" s="60" t="str">
        <f t="shared" si="23"/>
        <v/>
      </c>
    </row>
    <row r="751" spans="55:59" hidden="1" x14ac:dyDescent="0.25">
      <c r="BC751" s="60" t="str">
        <f t="shared" si="22"/>
        <v/>
      </c>
      <c r="BD751" s="60">
        <v>489</v>
      </c>
      <c r="BG751" s="60" t="str">
        <f t="shared" si="23"/>
        <v/>
      </c>
    </row>
    <row r="752" spans="55:59" hidden="1" x14ac:dyDescent="0.25">
      <c r="BC752" s="60" t="str">
        <f t="shared" si="22"/>
        <v/>
      </c>
      <c r="BD752" s="60">
        <v>490</v>
      </c>
      <c r="BG752" s="60" t="str">
        <f t="shared" si="23"/>
        <v/>
      </c>
    </row>
    <row r="753" spans="55:59" hidden="1" x14ac:dyDescent="0.25">
      <c r="BC753" s="60" t="str">
        <f t="shared" si="22"/>
        <v/>
      </c>
      <c r="BD753" s="60">
        <v>491</v>
      </c>
      <c r="BG753" s="60" t="str">
        <f t="shared" si="23"/>
        <v/>
      </c>
    </row>
    <row r="754" spans="55:59" hidden="1" x14ac:dyDescent="0.25">
      <c r="BC754" s="60" t="str">
        <f t="shared" si="22"/>
        <v/>
      </c>
      <c r="BD754" s="60">
        <v>492</v>
      </c>
      <c r="BG754" s="60" t="str">
        <f t="shared" si="23"/>
        <v/>
      </c>
    </row>
    <row r="755" spans="55:59" hidden="1" x14ac:dyDescent="0.25">
      <c r="BC755" s="60" t="str">
        <f t="shared" si="22"/>
        <v/>
      </c>
      <c r="BD755" s="60">
        <v>493</v>
      </c>
      <c r="BG755" s="60" t="str">
        <f t="shared" si="23"/>
        <v/>
      </c>
    </row>
    <row r="756" spans="55:59" hidden="1" x14ac:dyDescent="0.25">
      <c r="BC756" s="60" t="str">
        <f t="shared" si="22"/>
        <v/>
      </c>
      <c r="BD756" s="60">
        <v>494</v>
      </c>
      <c r="BG756" s="60" t="str">
        <f t="shared" si="23"/>
        <v/>
      </c>
    </row>
    <row r="757" spans="55:59" hidden="1" x14ac:dyDescent="0.25">
      <c r="BC757" s="60" t="str">
        <f t="shared" si="22"/>
        <v/>
      </c>
      <c r="BD757" s="60">
        <v>495</v>
      </c>
      <c r="BG757" s="60" t="str">
        <f t="shared" si="23"/>
        <v/>
      </c>
    </row>
    <row r="758" spans="55:59" hidden="1" x14ac:dyDescent="0.25">
      <c r="BC758" s="60" t="str">
        <f t="shared" si="22"/>
        <v/>
      </c>
      <c r="BD758" s="60">
        <v>496</v>
      </c>
      <c r="BG758" s="60" t="str">
        <f t="shared" si="23"/>
        <v/>
      </c>
    </row>
    <row r="759" spans="55:59" hidden="1" x14ac:dyDescent="0.25">
      <c r="BC759" s="60" t="str">
        <f t="shared" si="22"/>
        <v/>
      </c>
      <c r="BD759" s="60">
        <v>497</v>
      </c>
      <c r="BG759" s="60" t="str">
        <f t="shared" si="23"/>
        <v/>
      </c>
    </row>
    <row r="760" spans="55:59" hidden="1" x14ac:dyDescent="0.25">
      <c r="BC760" s="60" t="str">
        <f t="shared" si="22"/>
        <v/>
      </c>
      <c r="BD760" s="60">
        <v>498</v>
      </c>
      <c r="BG760" s="60" t="str">
        <f t="shared" si="23"/>
        <v/>
      </c>
    </row>
    <row r="761" spans="55:59" hidden="1" x14ac:dyDescent="0.25">
      <c r="BC761" s="60" t="str">
        <f t="shared" si="22"/>
        <v/>
      </c>
      <c r="BD761" s="60">
        <v>499</v>
      </c>
      <c r="BG761" s="60" t="str">
        <f t="shared" si="23"/>
        <v/>
      </c>
    </row>
    <row r="762" spans="55:59" hidden="1" x14ac:dyDescent="0.25">
      <c r="BC762" s="60" t="str">
        <f t="shared" si="22"/>
        <v/>
      </c>
      <c r="BD762" s="60">
        <v>500</v>
      </c>
      <c r="BG762" s="60" t="str">
        <f t="shared" si="23"/>
        <v/>
      </c>
    </row>
    <row r="763" spans="55:59" hidden="1" x14ac:dyDescent="0.25">
      <c r="BC763" s="60" t="str">
        <f t="shared" si="22"/>
        <v/>
      </c>
      <c r="BD763" s="60">
        <v>501</v>
      </c>
      <c r="BG763" s="60" t="str">
        <f t="shared" si="23"/>
        <v/>
      </c>
    </row>
    <row r="764" spans="55:59" hidden="1" x14ac:dyDescent="0.25">
      <c r="BC764" s="60" t="str">
        <f t="shared" si="22"/>
        <v/>
      </c>
      <c r="BD764" s="60">
        <v>502</v>
      </c>
      <c r="BG764" s="60" t="str">
        <f t="shared" si="23"/>
        <v/>
      </c>
    </row>
    <row r="765" spans="55:59" hidden="1" x14ac:dyDescent="0.25">
      <c r="BC765" s="60" t="str">
        <f t="shared" si="22"/>
        <v/>
      </c>
      <c r="BD765" s="60">
        <v>503</v>
      </c>
      <c r="BG765" s="60" t="str">
        <f t="shared" si="23"/>
        <v/>
      </c>
    </row>
    <row r="766" spans="55:59" hidden="1" x14ac:dyDescent="0.25">
      <c r="BC766" s="60" t="str">
        <f t="shared" si="22"/>
        <v/>
      </c>
      <c r="BD766" s="60">
        <v>504</v>
      </c>
      <c r="BG766" s="60" t="str">
        <f t="shared" si="23"/>
        <v/>
      </c>
    </row>
    <row r="767" spans="55:59" hidden="1" x14ac:dyDescent="0.25">
      <c r="BC767" s="60" t="str">
        <f t="shared" si="22"/>
        <v/>
      </c>
      <c r="BD767" s="60">
        <v>505</v>
      </c>
      <c r="BG767" s="60" t="str">
        <f t="shared" si="23"/>
        <v/>
      </c>
    </row>
    <row r="768" spans="55:59" hidden="1" x14ac:dyDescent="0.25">
      <c r="BC768" s="60" t="str">
        <f t="shared" si="22"/>
        <v/>
      </c>
      <c r="BD768" s="60">
        <v>506</v>
      </c>
      <c r="BG768" s="60" t="str">
        <f t="shared" si="23"/>
        <v/>
      </c>
    </row>
    <row r="769" spans="55:59" hidden="1" x14ac:dyDescent="0.25">
      <c r="BC769" s="60" t="str">
        <f t="shared" si="22"/>
        <v/>
      </c>
      <c r="BD769" s="60">
        <v>507</v>
      </c>
      <c r="BG769" s="60" t="str">
        <f t="shared" si="23"/>
        <v/>
      </c>
    </row>
    <row r="770" spans="55:59" hidden="1" x14ac:dyDescent="0.25">
      <c r="BC770" s="60" t="str">
        <f t="shared" si="22"/>
        <v/>
      </c>
      <c r="BD770" s="60">
        <v>508</v>
      </c>
      <c r="BG770" s="60" t="str">
        <f t="shared" si="23"/>
        <v/>
      </c>
    </row>
    <row r="771" spans="55:59" hidden="1" x14ac:dyDescent="0.25">
      <c r="BC771" s="60" t="str">
        <f t="shared" si="22"/>
        <v/>
      </c>
      <c r="BD771" s="60">
        <v>509</v>
      </c>
      <c r="BG771" s="60" t="str">
        <f t="shared" si="23"/>
        <v/>
      </c>
    </row>
    <row r="772" spans="55:59" hidden="1" x14ac:dyDescent="0.25">
      <c r="BC772" s="60" t="str">
        <f t="shared" si="22"/>
        <v/>
      </c>
      <c r="BD772" s="60">
        <v>510</v>
      </c>
      <c r="BG772" s="60" t="str">
        <f t="shared" si="23"/>
        <v/>
      </c>
    </row>
    <row r="773" spans="55:59" hidden="1" x14ac:dyDescent="0.25">
      <c r="BC773" s="60" t="str">
        <f t="shared" si="22"/>
        <v/>
      </c>
      <c r="BD773" s="60">
        <v>511</v>
      </c>
      <c r="BG773" s="60" t="str">
        <f t="shared" si="23"/>
        <v/>
      </c>
    </row>
    <row r="774" spans="55:59" hidden="1" x14ac:dyDescent="0.25">
      <c r="BC774" s="60" t="str">
        <f t="shared" si="22"/>
        <v/>
      </c>
      <c r="BD774" s="60">
        <v>512</v>
      </c>
      <c r="BG774" s="60" t="str">
        <f t="shared" si="23"/>
        <v/>
      </c>
    </row>
    <row r="775" spans="55:59" hidden="1" x14ac:dyDescent="0.25">
      <c r="BC775" s="60" t="str">
        <f t="shared" si="22"/>
        <v/>
      </c>
      <c r="BD775" s="60">
        <v>513</v>
      </c>
      <c r="BG775" s="60" t="str">
        <f t="shared" si="23"/>
        <v/>
      </c>
    </row>
    <row r="776" spans="55:59" hidden="1" x14ac:dyDescent="0.25">
      <c r="BC776" s="60" t="str">
        <f t="shared" si="22"/>
        <v/>
      </c>
      <c r="BD776" s="60">
        <v>514</v>
      </c>
      <c r="BG776" s="60" t="str">
        <f t="shared" si="23"/>
        <v/>
      </c>
    </row>
    <row r="777" spans="55:59" hidden="1" x14ac:dyDescent="0.25">
      <c r="BC777" s="60" t="str">
        <f t="shared" si="22"/>
        <v/>
      </c>
      <c r="BD777" s="60">
        <v>515</v>
      </c>
      <c r="BG777" s="60" t="str">
        <f t="shared" si="23"/>
        <v/>
      </c>
    </row>
    <row r="778" spans="55:59" hidden="1" x14ac:dyDescent="0.25">
      <c r="BC778" s="60" t="str">
        <f t="shared" si="22"/>
        <v/>
      </c>
      <c r="BD778" s="60">
        <v>516</v>
      </c>
      <c r="BG778" s="60" t="str">
        <f t="shared" si="23"/>
        <v/>
      </c>
    </row>
    <row r="779" spans="55:59" hidden="1" x14ac:dyDescent="0.25">
      <c r="BC779" s="60" t="str">
        <f t="shared" si="22"/>
        <v/>
      </c>
      <c r="BD779" s="60">
        <v>517</v>
      </c>
      <c r="BG779" s="60" t="str">
        <f t="shared" si="23"/>
        <v/>
      </c>
    </row>
    <row r="780" spans="55:59" hidden="1" x14ac:dyDescent="0.25">
      <c r="BC780" s="60" t="str">
        <f t="shared" si="22"/>
        <v/>
      </c>
      <c r="BD780" s="60">
        <v>518</v>
      </c>
      <c r="BG780" s="60" t="str">
        <f t="shared" si="23"/>
        <v/>
      </c>
    </row>
    <row r="781" spans="55:59" hidden="1" x14ac:dyDescent="0.25">
      <c r="BC781" s="60" t="str">
        <f t="shared" si="22"/>
        <v/>
      </c>
      <c r="BD781" s="60">
        <v>519</v>
      </c>
      <c r="BG781" s="60" t="str">
        <f t="shared" si="23"/>
        <v/>
      </c>
    </row>
    <row r="782" spans="55:59" hidden="1" x14ac:dyDescent="0.25">
      <c r="BC782" s="60" t="str">
        <f t="shared" si="22"/>
        <v/>
      </c>
      <c r="BD782" s="60">
        <v>520</v>
      </c>
      <c r="BG782" s="60" t="str">
        <f t="shared" si="23"/>
        <v/>
      </c>
    </row>
    <row r="783" spans="55:59" hidden="1" x14ac:dyDescent="0.25">
      <c r="BC783" s="60" t="str">
        <f t="shared" si="22"/>
        <v/>
      </c>
      <c r="BD783" s="60">
        <v>521</v>
      </c>
      <c r="BG783" s="60" t="str">
        <f t="shared" si="23"/>
        <v/>
      </c>
    </row>
    <row r="784" spans="55:59" hidden="1" x14ac:dyDescent="0.25">
      <c r="BC784" s="60" t="str">
        <f t="shared" si="22"/>
        <v/>
      </c>
      <c r="BD784" s="60">
        <v>522</v>
      </c>
      <c r="BG784" s="60" t="str">
        <f t="shared" si="23"/>
        <v/>
      </c>
    </row>
    <row r="785" spans="55:59" hidden="1" x14ac:dyDescent="0.25">
      <c r="BC785" s="60" t="str">
        <f t="shared" si="22"/>
        <v/>
      </c>
      <c r="BD785" s="60">
        <v>523</v>
      </c>
      <c r="BG785" s="60" t="str">
        <f t="shared" si="23"/>
        <v/>
      </c>
    </row>
    <row r="786" spans="55:59" hidden="1" x14ac:dyDescent="0.25">
      <c r="BC786" s="60" t="str">
        <f t="shared" si="22"/>
        <v/>
      </c>
      <c r="BD786" s="60">
        <v>524</v>
      </c>
      <c r="BG786" s="60" t="str">
        <f t="shared" si="23"/>
        <v/>
      </c>
    </row>
    <row r="787" spans="55:59" hidden="1" x14ac:dyDescent="0.25">
      <c r="BC787" s="60" t="str">
        <f t="shared" si="22"/>
        <v/>
      </c>
      <c r="BD787" s="60">
        <v>525</v>
      </c>
      <c r="BG787" s="60" t="str">
        <f t="shared" si="23"/>
        <v/>
      </c>
    </row>
    <row r="788" spans="55:59" hidden="1" x14ac:dyDescent="0.25">
      <c r="BC788" s="60" t="str">
        <f t="shared" si="22"/>
        <v/>
      </c>
      <c r="BD788" s="60">
        <v>526</v>
      </c>
      <c r="BG788" s="60" t="str">
        <f t="shared" si="23"/>
        <v/>
      </c>
    </row>
    <row r="789" spans="55:59" hidden="1" x14ac:dyDescent="0.25">
      <c r="BC789" s="60" t="str">
        <f t="shared" si="22"/>
        <v/>
      </c>
      <c r="BD789" s="60">
        <v>527</v>
      </c>
      <c r="BG789" s="60" t="str">
        <f t="shared" si="23"/>
        <v/>
      </c>
    </row>
    <row r="790" spans="55:59" hidden="1" x14ac:dyDescent="0.25">
      <c r="BC790" s="60" t="str">
        <f t="shared" si="22"/>
        <v/>
      </c>
      <c r="BD790" s="60">
        <v>528</v>
      </c>
      <c r="BG790" s="60" t="str">
        <f t="shared" si="23"/>
        <v/>
      </c>
    </row>
    <row r="791" spans="55:59" hidden="1" x14ac:dyDescent="0.25">
      <c r="BC791" s="60" t="str">
        <f t="shared" si="22"/>
        <v/>
      </c>
      <c r="BD791" s="60">
        <v>529</v>
      </c>
      <c r="BG791" s="60" t="str">
        <f t="shared" si="23"/>
        <v/>
      </c>
    </row>
    <row r="792" spans="55:59" hidden="1" x14ac:dyDescent="0.25">
      <c r="BC792" s="60" t="str">
        <f t="shared" si="22"/>
        <v/>
      </c>
      <c r="BD792" s="60">
        <v>530</v>
      </c>
      <c r="BG792" s="60" t="str">
        <f t="shared" si="23"/>
        <v/>
      </c>
    </row>
    <row r="793" spans="55:59" hidden="1" x14ac:dyDescent="0.25">
      <c r="BC793" s="60" t="str">
        <f t="shared" ref="BC793:BC835" si="24">IF(BC792&lt;&gt;"", IF(BC792&lt;$AQ$319, BC792+1, ""), "")</f>
        <v/>
      </c>
      <c r="BD793" s="60">
        <v>531</v>
      </c>
      <c r="BG793" s="60" t="str">
        <f t="shared" ref="BG793:BG836" si="25">IF(BG792 &lt;&gt; "", IF(BG792+$AT$321 &lt;= $AR$322, BG792+$AT$321, ""), "")</f>
        <v/>
      </c>
    </row>
    <row r="794" spans="55:59" hidden="1" x14ac:dyDescent="0.25">
      <c r="BC794" s="60" t="str">
        <f t="shared" si="24"/>
        <v/>
      </c>
      <c r="BD794" s="60">
        <v>532</v>
      </c>
      <c r="BG794" s="60" t="str">
        <f t="shared" si="25"/>
        <v/>
      </c>
    </row>
    <row r="795" spans="55:59" hidden="1" x14ac:dyDescent="0.25">
      <c r="BC795" s="60" t="str">
        <f t="shared" si="24"/>
        <v/>
      </c>
      <c r="BD795" s="60">
        <v>533</v>
      </c>
      <c r="BG795" s="60" t="str">
        <f t="shared" si="25"/>
        <v/>
      </c>
    </row>
    <row r="796" spans="55:59" hidden="1" x14ac:dyDescent="0.25">
      <c r="BC796" s="60" t="str">
        <f t="shared" si="24"/>
        <v/>
      </c>
      <c r="BD796" s="60">
        <v>534</v>
      </c>
      <c r="BG796" s="60" t="str">
        <f t="shared" si="25"/>
        <v/>
      </c>
    </row>
    <row r="797" spans="55:59" hidden="1" x14ac:dyDescent="0.25">
      <c r="BC797" s="60" t="str">
        <f t="shared" si="24"/>
        <v/>
      </c>
      <c r="BD797" s="60">
        <v>535</v>
      </c>
      <c r="BG797" s="60" t="str">
        <f t="shared" si="25"/>
        <v/>
      </c>
    </row>
    <row r="798" spans="55:59" hidden="1" x14ac:dyDescent="0.25">
      <c r="BC798" s="60" t="str">
        <f t="shared" si="24"/>
        <v/>
      </c>
      <c r="BD798" s="60">
        <v>536</v>
      </c>
      <c r="BG798" s="60" t="str">
        <f t="shared" si="25"/>
        <v/>
      </c>
    </row>
    <row r="799" spans="55:59" hidden="1" x14ac:dyDescent="0.25">
      <c r="BC799" s="60" t="str">
        <f t="shared" si="24"/>
        <v/>
      </c>
      <c r="BD799" s="60">
        <v>537</v>
      </c>
      <c r="BG799" s="60" t="str">
        <f t="shared" si="25"/>
        <v/>
      </c>
    </row>
    <row r="800" spans="55:59" hidden="1" x14ac:dyDescent="0.25">
      <c r="BC800" s="60" t="str">
        <f t="shared" si="24"/>
        <v/>
      </c>
      <c r="BD800" s="60">
        <v>538</v>
      </c>
      <c r="BG800" s="60" t="str">
        <f t="shared" si="25"/>
        <v/>
      </c>
    </row>
    <row r="801" spans="55:59" hidden="1" x14ac:dyDescent="0.25">
      <c r="BC801" s="60" t="str">
        <f t="shared" si="24"/>
        <v/>
      </c>
      <c r="BD801" s="60">
        <v>539</v>
      </c>
      <c r="BG801" s="60" t="str">
        <f t="shared" si="25"/>
        <v/>
      </c>
    </row>
    <row r="802" spans="55:59" hidden="1" x14ac:dyDescent="0.25">
      <c r="BC802" s="60" t="str">
        <f t="shared" si="24"/>
        <v/>
      </c>
      <c r="BD802" s="60">
        <v>540</v>
      </c>
      <c r="BG802" s="60" t="str">
        <f t="shared" si="25"/>
        <v/>
      </c>
    </row>
    <row r="803" spans="55:59" hidden="1" x14ac:dyDescent="0.25">
      <c r="BC803" s="60" t="str">
        <f t="shared" si="24"/>
        <v/>
      </c>
      <c r="BD803" s="60">
        <v>541</v>
      </c>
      <c r="BG803" s="60" t="str">
        <f t="shared" si="25"/>
        <v/>
      </c>
    </row>
    <row r="804" spans="55:59" hidden="1" x14ac:dyDescent="0.25">
      <c r="BC804" s="60" t="str">
        <f t="shared" si="24"/>
        <v/>
      </c>
      <c r="BD804" s="60">
        <v>542</v>
      </c>
      <c r="BG804" s="60" t="str">
        <f t="shared" si="25"/>
        <v/>
      </c>
    </row>
    <row r="805" spans="55:59" hidden="1" x14ac:dyDescent="0.25">
      <c r="BC805" s="60" t="str">
        <f t="shared" si="24"/>
        <v/>
      </c>
      <c r="BD805" s="60">
        <v>543</v>
      </c>
      <c r="BG805" s="60" t="str">
        <f t="shared" si="25"/>
        <v/>
      </c>
    </row>
    <row r="806" spans="55:59" hidden="1" x14ac:dyDescent="0.25">
      <c r="BC806" s="60" t="str">
        <f t="shared" si="24"/>
        <v/>
      </c>
      <c r="BD806" s="60">
        <v>544</v>
      </c>
      <c r="BG806" s="60" t="str">
        <f t="shared" si="25"/>
        <v/>
      </c>
    </row>
    <row r="807" spans="55:59" hidden="1" x14ac:dyDescent="0.25">
      <c r="BC807" s="60" t="str">
        <f t="shared" si="24"/>
        <v/>
      </c>
      <c r="BD807" s="60">
        <v>545</v>
      </c>
      <c r="BG807" s="60" t="str">
        <f t="shared" si="25"/>
        <v/>
      </c>
    </row>
    <row r="808" spans="55:59" hidden="1" x14ac:dyDescent="0.25">
      <c r="BC808" s="60" t="str">
        <f t="shared" si="24"/>
        <v/>
      </c>
      <c r="BD808" s="60">
        <v>546</v>
      </c>
      <c r="BG808" s="60" t="str">
        <f t="shared" si="25"/>
        <v/>
      </c>
    </row>
    <row r="809" spans="55:59" hidden="1" x14ac:dyDescent="0.25">
      <c r="BC809" s="60" t="str">
        <f t="shared" si="24"/>
        <v/>
      </c>
      <c r="BD809" s="60">
        <v>547</v>
      </c>
      <c r="BG809" s="60" t="str">
        <f t="shared" si="25"/>
        <v/>
      </c>
    </row>
    <row r="810" spans="55:59" hidden="1" x14ac:dyDescent="0.25">
      <c r="BC810" s="60" t="str">
        <f t="shared" si="24"/>
        <v/>
      </c>
      <c r="BD810" s="60">
        <v>548</v>
      </c>
      <c r="BG810" s="60" t="str">
        <f t="shared" si="25"/>
        <v/>
      </c>
    </row>
    <row r="811" spans="55:59" hidden="1" x14ac:dyDescent="0.25">
      <c r="BC811" s="60" t="str">
        <f t="shared" si="24"/>
        <v/>
      </c>
      <c r="BD811" s="60">
        <v>549</v>
      </c>
      <c r="BG811" s="60" t="str">
        <f t="shared" si="25"/>
        <v/>
      </c>
    </row>
    <row r="812" spans="55:59" hidden="1" x14ac:dyDescent="0.25">
      <c r="BC812" s="60" t="str">
        <f t="shared" si="24"/>
        <v/>
      </c>
      <c r="BD812" s="60">
        <v>550</v>
      </c>
      <c r="BG812" s="60" t="str">
        <f t="shared" si="25"/>
        <v/>
      </c>
    </row>
    <row r="813" spans="55:59" hidden="1" x14ac:dyDescent="0.25">
      <c r="BC813" s="60" t="str">
        <f t="shared" si="24"/>
        <v/>
      </c>
      <c r="BD813" s="60">
        <v>551</v>
      </c>
      <c r="BG813" s="60" t="str">
        <f t="shared" si="25"/>
        <v/>
      </c>
    </row>
    <row r="814" spans="55:59" hidden="1" x14ac:dyDescent="0.25">
      <c r="BC814" s="60" t="str">
        <f t="shared" si="24"/>
        <v/>
      </c>
      <c r="BD814" s="60">
        <v>552</v>
      </c>
      <c r="BG814" s="60" t="str">
        <f t="shared" si="25"/>
        <v/>
      </c>
    </row>
    <row r="815" spans="55:59" hidden="1" x14ac:dyDescent="0.25">
      <c r="BC815" s="60" t="str">
        <f t="shared" si="24"/>
        <v/>
      </c>
      <c r="BD815" s="60">
        <v>553</v>
      </c>
      <c r="BG815" s="60" t="str">
        <f t="shared" si="25"/>
        <v/>
      </c>
    </row>
    <row r="816" spans="55:59" hidden="1" x14ac:dyDescent="0.25">
      <c r="BC816" s="60" t="str">
        <f t="shared" si="24"/>
        <v/>
      </c>
      <c r="BD816" s="60">
        <v>554</v>
      </c>
      <c r="BG816" s="60" t="str">
        <f t="shared" si="25"/>
        <v/>
      </c>
    </row>
    <row r="817" spans="55:59" hidden="1" x14ac:dyDescent="0.25">
      <c r="BC817" s="60" t="str">
        <f t="shared" si="24"/>
        <v/>
      </c>
      <c r="BD817" s="60">
        <v>555</v>
      </c>
      <c r="BG817" s="60" t="str">
        <f t="shared" si="25"/>
        <v/>
      </c>
    </row>
    <row r="818" spans="55:59" hidden="1" x14ac:dyDescent="0.25">
      <c r="BC818" s="60" t="str">
        <f t="shared" si="24"/>
        <v/>
      </c>
      <c r="BD818" s="60">
        <v>556</v>
      </c>
      <c r="BG818" s="60" t="str">
        <f t="shared" si="25"/>
        <v/>
      </c>
    </row>
    <row r="819" spans="55:59" hidden="1" x14ac:dyDescent="0.25">
      <c r="BC819" s="60" t="str">
        <f t="shared" si="24"/>
        <v/>
      </c>
      <c r="BD819" s="60">
        <v>557</v>
      </c>
      <c r="BG819" s="60" t="str">
        <f t="shared" si="25"/>
        <v/>
      </c>
    </row>
    <row r="820" spans="55:59" hidden="1" x14ac:dyDescent="0.25">
      <c r="BC820" s="60" t="str">
        <f t="shared" si="24"/>
        <v/>
      </c>
      <c r="BD820" s="60">
        <v>558</v>
      </c>
      <c r="BG820" s="60" t="str">
        <f t="shared" si="25"/>
        <v/>
      </c>
    </row>
    <row r="821" spans="55:59" hidden="1" x14ac:dyDescent="0.25">
      <c r="BC821" s="60" t="str">
        <f t="shared" si="24"/>
        <v/>
      </c>
      <c r="BD821" s="60">
        <v>559</v>
      </c>
      <c r="BG821" s="60" t="str">
        <f t="shared" si="25"/>
        <v/>
      </c>
    </row>
    <row r="822" spans="55:59" hidden="1" x14ac:dyDescent="0.25">
      <c r="BC822" s="60" t="str">
        <f t="shared" si="24"/>
        <v/>
      </c>
      <c r="BD822" s="60">
        <v>560</v>
      </c>
      <c r="BG822" s="60" t="str">
        <f t="shared" si="25"/>
        <v/>
      </c>
    </row>
    <row r="823" spans="55:59" hidden="1" x14ac:dyDescent="0.25">
      <c r="BC823" s="60" t="str">
        <f t="shared" si="24"/>
        <v/>
      </c>
      <c r="BD823" s="60">
        <v>561</v>
      </c>
      <c r="BG823" s="60" t="str">
        <f t="shared" si="25"/>
        <v/>
      </c>
    </row>
    <row r="824" spans="55:59" hidden="1" x14ac:dyDescent="0.25">
      <c r="BC824" s="60" t="str">
        <f t="shared" si="24"/>
        <v/>
      </c>
      <c r="BD824" s="60">
        <v>562</v>
      </c>
      <c r="BG824" s="60" t="str">
        <f t="shared" si="25"/>
        <v/>
      </c>
    </row>
    <row r="825" spans="55:59" hidden="1" x14ac:dyDescent="0.25">
      <c r="BC825" s="60" t="str">
        <f t="shared" si="24"/>
        <v/>
      </c>
      <c r="BD825" s="60">
        <v>563</v>
      </c>
      <c r="BG825" s="60" t="str">
        <f t="shared" si="25"/>
        <v/>
      </c>
    </row>
    <row r="826" spans="55:59" hidden="1" x14ac:dyDescent="0.25">
      <c r="BC826" s="60" t="str">
        <f t="shared" si="24"/>
        <v/>
      </c>
      <c r="BD826" s="60">
        <v>564</v>
      </c>
      <c r="BG826" s="60" t="str">
        <f t="shared" si="25"/>
        <v/>
      </c>
    </row>
    <row r="827" spans="55:59" hidden="1" x14ac:dyDescent="0.25">
      <c r="BC827" s="60" t="str">
        <f t="shared" si="24"/>
        <v/>
      </c>
      <c r="BD827" s="60">
        <v>565</v>
      </c>
      <c r="BG827" s="60" t="str">
        <f t="shared" si="25"/>
        <v/>
      </c>
    </row>
    <row r="828" spans="55:59" hidden="1" x14ac:dyDescent="0.25">
      <c r="BC828" s="60" t="str">
        <f t="shared" si="24"/>
        <v/>
      </c>
      <c r="BD828" s="60">
        <v>566</v>
      </c>
      <c r="BG828" s="60" t="str">
        <f t="shared" si="25"/>
        <v/>
      </c>
    </row>
    <row r="829" spans="55:59" hidden="1" x14ac:dyDescent="0.25">
      <c r="BC829" s="60" t="str">
        <f t="shared" si="24"/>
        <v/>
      </c>
      <c r="BD829" s="60">
        <v>567</v>
      </c>
      <c r="BG829" s="60" t="str">
        <f t="shared" si="25"/>
        <v/>
      </c>
    </row>
    <row r="830" spans="55:59" hidden="1" x14ac:dyDescent="0.25">
      <c r="BC830" s="60" t="str">
        <f t="shared" si="24"/>
        <v/>
      </c>
      <c r="BD830" s="60">
        <v>568</v>
      </c>
      <c r="BG830" s="60" t="str">
        <f t="shared" si="25"/>
        <v/>
      </c>
    </row>
    <row r="831" spans="55:59" hidden="1" x14ac:dyDescent="0.25">
      <c r="BC831" s="60" t="str">
        <f t="shared" si="24"/>
        <v/>
      </c>
      <c r="BD831" s="60">
        <v>569</v>
      </c>
      <c r="BG831" s="60" t="str">
        <f t="shared" si="25"/>
        <v/>
      </c>
    </row>
    <row r="832" spans="55:59" hidden="1" x14ac:dyDescent="0.25">
      <c r="BC832" s="60" t="str">
        <f t="shared" si="24"/>
        <v/>
      </c>
      <c r="BD832" s="60">
        <v>570</v>
      </c>
      <c r="BG832" s="60" t="str">
        <f t="shared" si="25"/>
        <v/>
      </c>
    </row>
    <row r="833" spans="55:59" hidden="1" x14ac:dyDescent="0.25">
      <c r="BC833" s="60" t="str">
        <f t="shared" si="24"/>
        <v/>
      </c>
      <c r="BD833" s="60">
        <v>571</v>
      </c>
      <c r="BG833" s="60" t="str">
        <f t="shared" si="25"/>
        <v/>
      </c>
    </row>
    <row r="834" spans="55:59" hidden="1" x14ac:dyDescent="0.25">
      <c r="BC834" s="60" t="str">
        <f t="shared" si="24"/>
        <v/>
      </c>
      <c r="BD834" s="60">
        <v>572</v>
      </c>
      <c r="BG834" s="60" t="str">
        <f t="shared" si="25"/>
        <v/>
      </c>
    </row>
    <row r="835" spans="55:59" hidden="1" x14ac:dyDescent="0.25">
      <c r="BC835" s="60" t="str">
        <f t="shared" si="24"/>
        <v/>
      </c>
      <c r="BD835" s="60">
        <v>573</v>
      </c>
      <c r="BG835" s="60" t="str">
        <f t="shared" si="25"/>
        <v/>
      </c>
    </row>
    <row r="836" spans="55:59" hidden="1" x14ac:dyDescent="0.25">
      <c r="BC836" s="60" t="str">
        <f t="shared" ref="BC836:BC854" si="26">IF(BC835&lt;$AQ$319, BC835+1, "")</f>
        <v/>
      </c>
      <c r="BD836" s="60">
        <v>574</v>
      </c>
      <c r="BG836" s="60" t="str">
        <f t="shared" si="25"/>
        <v/>
      </c>
    </row>
    <row r="837" spans="55:59" hidden="1" x14ac:dyDescent="0.25">
      <c r="BC837" s="60" t="str">
        <f t="shared" si="26"/>
        <v/>
      </c>
      <c r="BD837" s="60">
        <v>575</v>
      </c>
    </row>
    <row r="838" spans="55:59" hidden="1" x14ac:dyDescent="0.25">
      <c r="BC838" s="60" t="str">
        <f t="shared" si="26"/>
        <v/>
      </c>
      <c r="BD838" s="60">
        <v>576</v>
      </c>
    </row>
    <row r="839" spans="55:59" hidden="1" x14ac:dyDescent="0.25">
      <c r="BC839" s="60" t="str">
        <f t="shared" si="26"/>
        <v/>
      </c>
    </row>
    <row r="840" spans="55:59" hidden="1" x14ac:dyDescent="0.25">
      <c r="BC840" s="60" t="str">
        <f t="shared" si="26"/>
        <v/>
      </c>
    </row>
    <row r="841" spans="55:59" hidden="1" x14ac:dyDescent="0.25">
      <c r="BC841" s="60" t="str">
        <f t="shared" si="26"/>
        <v/>
      </c>
    </row>
    <row r="842" spans="55:59" hidden="1" x14ac:dyDescent="0.25">
      <c r="BC842" s="60" t="str">
        <f t="shared" si="26"/>
        <v/>
      </c>
    </row>
    <row r="843" spans="55:59" hidden="1" x14ac:dyDescent="0.25">
      <c r="BC843" s="60" t="str">
        <f t="shared" si="26"/>
        <v/>
      </c>
    </row>
    <row r="844" spans="55:59" hidden="1" x14ac:dyDescent="0.25">
      <c r="BC844" s="60" t="str">
        <f t="shared" si="26"/>
        <v/>
      </c>
    </row>
    <row r="845" spans="55:59" hidden="1" x14ac:dyDescent="0.25">
      <c r="BC845" s="60" t="str">
        <f t="shared" si="26"/>
        <v/>
      </c>
    </row>
    <row r="846" spans="55:59" hidden="1" x14ac:dyDescent="0.25">
      <c r="BC846" s="60" t="str">
        <f t="shared" si="26"/>
        <v/>
      </c>
    </row>
    <row r="847" spans="55:59" hidden="1" x14ac:dyDescent="0.25">
      <c r="BC847" s="60" t="str">
        <f t="shared" si="26"/>
        <v/>
      </c>
    </row>
    <row r="848" spans="55:59" hidden="1" x14ac:dyDescent="0.25">
      <c r="BC848" s="60" t="str">
        <f t="shared" si="26"/>
        <v/>
      </c>
    </row>
    <row r="849" spans="55:55" hidden="1" x14ac:dyDescent="0.25">
      <c r="BC849" s="60" t="str">
        <f t="shared" si="26"/>
        <v/>
      </c>
    </row>
    <row r="850" spans="55:55" hidden="1" x14ac:dyDescent="0.25">
      <c r="BC850" s="60" t="str">
        <f t="shared" si="26"/>
        <v/>
      </c>
    </row>
    <row r="851" spans="55:55" hidden="1" x14ac:dyDescent="0.25">
      <c r="BC851" s="60" t="str">
        <f t="shared" si="26"/>
        <v/>
      </c>
    </row>
    <row r="852" spans="55:55" hidden="1" x14ac:dyDescent="0.25">
      <c r="BC852" s="60" t="str">
        <f t="shared" si="26"/>
        <v/>
      </c>
    </row>
    <row r="853" spans="55:55" hidden="1" x14ac:dyDescent="0.25">
      <c r="BC853" s="60" t="str">
        <f t="shared" si="26"/>
        <v/>
      </c>
    </row>
    <row r="854" spans="55:55" hidden="1" x14ac:dyDescent="0.25">
      <c r="BC854" s="60" t="str">
        <f t="shared" si="26"/>
        <v/>
      </c>
    </row>
  </sheetData>
  <sheetProtection password="E164" sheet="1" scenarios="1"/>
  <dataConsolidate/>
  <mergeCells count="44">
    <mergeCell ref="AT280:AW280"/>
    <mergeCell ref="A7:B7"/>
    <mergeCell ref="A13:B13"/>
    <mergeCell ref="A9:B9"/>
    <mergeCell ref="A10:B10"/>
    <mergeCell ref="C13:D13"/>
    <mergeCell ref="A30:M30"/>
    <mergeCell ref="C17:D17"/>
    <mergeCell ref="J15:K15"/>
    <mergeCell ref="G11:I11"/>
    <mergeCell ref="A19:B19"/>
    <mergeCell ref="A29:T29"/>
    <mergeCell ref="N20:T28"/>
    <mergeCell ref="F28:M28"/>
    <mergeCell ref="F25:M25"/>
    <mergeCell ref="F26:M26"/>
    <mergeCell ref="F27:M27"/>
    <mergeCell ref="C19:D19"/>
    <mergeCell ref="G7:H7"/>
    <mergeCell ref="C7:D7"/>
    <mergeCell ref="C9:D9"/>
    <mergeCell ref="F24:M24"/>
    <mergeCell ref="C21:D21"/>
    <mergeCell ref="A1:Q1"/>
    <mergeCell ref="R1:T1"/>
    <mergeCell ref="O3:S3"/>
    <mergeCell ref="K7:L7"/>
    <mergeCell ref="J9:K9"/>
    <mergeCell ref="K5:L5"/>
    <mergeCell ref="G3:L3"/>
    <mergeCell ref="G5:H5"/>
    <mergeCell ref="K6:L6"/>
    <mergeCell ref="G6:H6"/>
    <mergeCell ref="C3:D3"/>
    <mergeCell ref="C5:D5"/>
    <mergeCell ref="Q5:R5"/>
    <mergeCell ref="N19:T19"/>
    <mergeCell ref="A11:D11"/>
    <mergeCell ref="O5:P5"/>
    <mergeCell ref="J17:K17"/>
    <mergeCell ref="J19:K19"/>
    <mergeCell ref="J13:K13"/>
    <mergeCell ref="K11:L11"/>
    <mergeCell ref="C15:D15"/>
  </mergeCells>
  <dataValidations count="10">
    <dataValidation type="list" allowBlank="1" showInputMessage="1" showErrorMessage="1" sqref="C3">
      <formula1>$AN$257:$AN$258</formula1>
    </dataValidation>
    <dataValidation type="list" allowBlank="1" showInputMessage="1" showErrorMessage="1" sqref="C5:D5">
      <formula1>$AP$306:$AP$314</formula1>
    </dataValidation>
    <dataValidation type="list" allowBlank="1" showInputMessage="1" showErrorMessage="1" sqref="C7">
      <formula1>INDIRECT($AS$315)</formula1>
    </dataValidation>
    <dataValidation type="whole" allowBlank="1" showInputMessage="1" showErrorMessage="1" sqref="C10">
      <formula1>256</formula1>
      <formula2>576</formula2>
    </dataValidation>
    <dataValidation type="whole" allowBlank="1" showInputMessage="1" showErrorMessage="1" sqref="V9">
      <formula1>200</formula1>
      <formula2>300</formula2>
    </dataValidation>
    <dataValidation type="list" allowBlank="1" showInputMessage="1" showErrorMessage="1" sqref="W9">
      <formula1>"1,2,3,4,5"</formula1>
    </dataValidation>
    <dataValidation type="whole" allowBlank="1" showInputMessage="1" showErrorMessage="1" sqref="C17:D17">
      <formula1>J9</formula1>
      <formula2>AS326</formula2>
    </dataValidation>
    <dataValidation type="whole" allowBlank="1" showInputMessage="1" showErrorMessage="1" sqref="C19:D19">
      <formula1>J9</formula1>
      <formula2>AS326</formula2>
    </dataValidation>
    <dataValidation type="whole" allowBlank="1" showInputMessage="1" showErrorMessage="1" sqref="D9">
      <formula1>32</formula1>
      <formula2>576</formula2>
    </dataValidation>
    <dataValidation type="list" allowBlank="1" showInputMessage="1" showErrorMessage="1" sqref="C9">
      <formula1>OFFSET(INDIRECT($AU$315), 0, 0, $AW$315, 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8" r:id="rId4" name="Check Box 24">
              <controlPr locked="0" defaultSize="0" autoFill="0" autoLine="0" autoPict="0">
                <anchor moveWithCells="1">
                  <from>
                    <xdr:col>1</xdr:col>
                    <xdr:colOff>171450</xdr:colOff>
                    <xdr:row>11</xdr:row>
                    <xdr:rowOff>180975</xdr:rowOff>
                  </from>
                  <to>
                    <xdr:col>1</xdr:col>
                    <xdr:colOff>381000</xdr:colOff>
                    <xdr:row>13</xdr:row>
                    <xdr:rowOff>0</xdr:rowOff>
                  </to>
                </anchor>
              </controlPr>
            </control>
          </mc:Choice>
        </mc:AlternateContent>
        <mc:AlternateContent xmlns:mc="http://schemas.openxmlformats.org/markup-compatibility/2006">
          <mc:Choice Requires="x14">
            <control shapeId="1079" r:id="rId5" name="Check Box 55">
              <controlPr locked="0" defaultSize="0" autoFill="0" autoLine="0" autoPict="0">
                <anchor moveWithCells="1">
                  <from>
                    <xdr:col>3</xdr:col>
                    <xdr:colOff>238125</xdr:colOff>
                    <xdr:row>11</xdr:row>
                    <xdr:rowOff>180975</xdr:rowOff>
                  </from>
                  <to>
                    <xdr:col>3</xdr:col>
                    <xdr:colOff>447675</xdr:colOff>
                    <xdr:row>13</xdr:row>
                    <xdr:rowOff>0</xdr:rowOff>
                  </to>
                </anchor>
              </controlPr>
            </control>
          </mc:Choice>
        </mc:AlternateContent>
        <mc:AlternateContent xmlns:mc="http://schemas.openxmlformats.org/markup-compatibility/2006">
          <mc:Choice Requires="x14">
            <control shapeId="1132" r:id="rId6" name="Check Box 108">
              <controlPr locked="0" defaultSize="0" autoFill="0" autoLine="0" autoPict="0">
                <anchor moveWithCells="1">
                  <from>
                    <xdr:col>9</xdr:col>
                    <xdr:colOff>114300</xdr:colOff>
                    <xdr:row>9</xdr:row>
                    <xdr:rowOff>180975</xdr:rowOff>
                  </from>
                  <to>
                    <xdr:col>9</xdr:col>
                    <xdr:colOff>323850</xdr:colOff>
                    <xdr:row>11</xdr:row>
                    <xdr:rowOff>0</xdr:rowOff>
                  </to>
                </anchor>
              </controlPr>
            </control>
          </mc:Choice>
        </mc:AlternateContent>
        <mc:AlternateContent xmlns:mc="http://schemas.openxmlformats.org/markup-compatibility/2006">
          <mc:Choice Requires="x14">
            <control shapeId="1133" r:id="rId7" name="Check Box 109">
              <controlPr locked="0" defaultSize="0" autoFill="0" autoLine="0" autoPict="0">
                <anchor moveWithCells="1">
                  <from>
                    <xdr:col>10</xdr:col>
                    <xdr:colOff>371475</xdr:colOff>
                    <xdr:row>9</xdr:row>
                    <xdr:rowOff>180975</xdr:rowOff>
                  </from>
                  <to>
                    <xdr:col>10</xdr:col>
                    <xdr:colOff>581025</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J9:J10"/>
  <sheetViews>
    <sheetView workbookViewId="0">
      <selection activeCell="J9" sqref="J9:J10"/>
    </sheetView>
  </sheetViews>
  <sheetFormatPr defaultRowHeight="15" x14ac:dyDescent="0.25"/>
  <sheetData>
    <row r="9" spans="10:10" x14ac:dyDescent="0.25">
      <c r="J9">
        <v>32</v>
      </c>
    </row>
    <row r="10" spans="10:10" x14ac:dyDescent="0.25">
      <c r="J10">
        <v>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11</vt:i4>
      </vt:variant>
    </vt:vector>
  </HeadingPairs>
  <TitlesOfParts>
    <vt:vector size="13" baseType="lpstr">
      <vt:lpstr>JitterBufferBudget</vt:lpstr>
      <vt:lpstr>Sheet3</vt:lpstr>
      <vt:lpstr>e1all</vt:lpstr>
      <vt:lpstr>e1basic</vt:lpstr>
      <vt:lpstr>e1mf</vt:lpstr>
      <vt:lpstr>e1unframed</vt:lpstr>
      <vt:lpstr>maxJitterBuffer</vt:lpstr>
      <vt:lpstr>payldBasic</vt:lpstr>
      <vt:lpstr>payldMF</vt:lpstr>
      <vt:lpstr>payldSF</vt:lpstr>
      <vt:lpstr>payldUnframed</vt:lpstr>
      <vt:lpstr>t1all</vt:lpstr>
      <vt:lpstr>t1unframed</vt:lpstr>
    </vt:vector>
  </TitlesOfParts>
  <Company>Extreme Networks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JitterBufferBudget</dc:title>
  <dc:subject>CESoP/SAToP Jitter Buffer Estimation Tool</dc:subject>
  <dc:creator>Extreme Networks</dc:creator>
  <cp:lastModifiedBy>Extreme Networks</cp:lastModifiedBy>
  <dcterms:created xsi:type="dcterms:W3CDTF">2011-11-08T12:43:58Z</dcterms:created>
  <dcterms:modified xsi:type="dcterms:W3CDTF">2011-11-29T18:43:39Z</dcterms:modified>
</cp:coreProperties>
</file>